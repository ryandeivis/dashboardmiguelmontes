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 sheetId="1" r:id="rId4"/>
  </sheets>
  <definedNames/>
  <calcPr/>
</workbook>
</file>

<file path=xl/sharedStrings.xml><?xml version="1.0" encoding="utf-8"?>
<sst xmlns="http://schemas.openxmlformats.org/spreadsheetml/2006/main" count="348" uniqueCount="268">
  <si>
    <t>#</t>
  </si>
  <si>
    <t>Link Publicación</t>
  </si>
  <si>
    <t>Fecha</t>
  </si>
  <si>
    <t>Días sin publicar</t>
  </si>
  <si>
    <t>Tema/Categoría</t>
  </si>
  <si>
    <t>Formato</t>
  </si>
  <si>
    <t>Duración (min:seg)</t>
  </si>
  <si>
    <t>Descripción/Caption</t>
  </si>
  <si>
    <t>Raw Data: Comentarios</t>
  </si>
  <si>
    <t>Reproducciones</t>
  </si>
  <si>
    <t>Likes</t>
  </si>
  <si>
    <t>Conteo Comentarios</t>
  </si>
  <si>
    <t>Reposteados</t>
  </si>
  <si>
    <t>Compartidos</t>
  </si>
  <si>
    <t>Guardados TikTok</t>
  </si>
  <si>
    <t># en Ig/Tk</t>
  </si>
  <si>
    <t># en Ig/Fb</t>
  </si>
  <si>
    <t/>
  </si>
  <si>
    <t>Sends per Reach</t>
  </si>
  <si>
    <t>Likes per Reach</t>
  </si>
  <si>
    <t>Quality Score (1-10)</t>
  </si>
  <si>
    <r>
      <rPr>
        <color rgb="FF1155CC"/>
        <u/>
      </rPr>
      <t>Instagram</t>
    </r>
  </si>
  <si>
    <t>vertical</t>
  </si>
  <si>
    <t>0:39</t>
  </si>
  <si>
    <t>Me dediqué a la edición y publicación de libros porque siempre me apasionó la idea de ayudar a otros a contar sus historias. ✨
Nunca olvidemos el poder transformador de un libro. Date la oportunidad de encontrar el libro que cambie tu vida.📝
Gracias. Sandra. Por contarnos tú historia.💙
#HistoriasQueInspiran #CartagenaBolivar #MiguelMontesCuri #C105</t>
  </si>
  <si>
    <t>Eso es lo que más me gusta de usted su sencillez DIOS lo guarde y lo bendiga para que pueda sacar su proyecto adelante 🙌❤️
10 hResponder
El mejor 👏🙌
11 h1 Me gustaResponder
👏💙
10 hResponder
😍😍😍
10 h1 Me gustaResponder
😍😍😍😍😍
9 hResponder
este man tiene una humildad y un gran corazón sigue así hermano
4 hResponder
Qué historia 👏🏼🔥
11 hResponder
👏👏👏👏👏
11 hResponder
👏👏👏👏
10 hResponder
👏👏👏
10 hResponder
😍😍❤️❤️
1 hResponder
Maravilloso 😍
10 h1 Me gustaResponder
👏👏👏👏👏❤️
11 hResponder
Eso 💙
3 hResponder</t>
  </si>
  <si>
    <r>
      <rPr>
        <color rgb="FF1155CC"/>
        <u/>
      </rPr>
      <t>Instagram</t>
    </r>
  </si>
  <si>
    <t>0:17</t>
  </si>
  <si>
    <t>Nos dijeron que esperáramos. Que éramos muy jóvenes. Que después. Que alguien más decidiera. Pero el parche no espera, el parche camina, se encuentra, se reconoce.
Aquí no hay tarima, hay calle y territorio. No hay discursos, hay conocimiento, ganas, carácter y decisión. El parche joven de Bolívar se está armando. No para mirar sino para moverlo todo.
#ParcheJoven #Jóvenes #MiguelMontesCuri #CartagenaBolivar #C105</t>
  </si>
  <si>
    <t>Así es con toda MIGUE de la mano 🤚 de DIOS 🙏
1 d1 Me gustaResponder
Equipo ganador 💙
1 d1 Me gustaResponder
Esoooo… que espectáculo 👏👏👏👏🙌 @miguemontes1 💙🙏🏻
1 d1 Me gustaResponder
👏👏👏
1 d1 Me gustaResponder
👏👏👏🔥
1 d1 Me gustaResponder
👏👏👏👏
1 d1 Me gustaResponder
Vamos con toda!!
1 d1 Me gustaResponder
EL MOMENTO ES AHORA ❤️🙌💙 C105
1 d1 Me gustaResponder
🔥🔥💙💙
1 d1 Me gustaResponder
Excelente Migue. Vamos pa lante con la mano de Dios
1 d1 Me gustaResponder
La campaña de los jóvenes 🔥
1 d4 Me gustaResponder
La voz de la juventud 👏
1 d1 Me gustaResponder
🔥🔥🔥🔥 Esto es lo que necesitamos las juventudes.
1 d1 Me gustaResponder
🔥👏
1 dResponder
Lo que se viene!!!!
1 d1 Me gustaResponder
Lider de lider
1 d1 Me gustaResponder
🧢🧢🧢
1 d1 Me gustaResponder
👏👏 great 🙏🙏@Education is the key of sucess
1 d1 Me gustaResponder
Si están listos para debatir, cuestionar, tomar las riendas y decidir; entonces este proyecto los convoca 🫡
1 d4 Me gustaResponder</t>
  </si>
  <si>
    <t>videos totales en TK</t>
  </si>
  <si>
    <r>
      <rPr>
        <color rgb="FF1155CC"/>
        <u/>
      </rPr>
      <t>Instagram</t>
    </r>
  </si>
  <si>
    <t>0:38</t>
  </si>
  <si>
    <t>La Educación: ¿Fuera de Parámetros? 🤔
¿La educación actual prepara a nuestros jóvenes para el mundo real? 🤷‍♀️
- Desactualización
- Enfoque en la teoría
- Falta de habilidades prácticas
- Desigualdades
¿Qué crees que está fallando? 💬
#Educación #EducaciónParaLaVida #MiguelMontesCuri #CartagenaBolivar #C105</t>
  </si>
  <si>
    <t>La elocuencia desde la sabiduría ❤️@miguemontes1
1 d1 Me gustaResponder
El mejor candidato me siento muy contenta por estar en tu campaña
5 hResponder
👏👏
1 d1 Me gustaResponder
Genial 🙌👏👏👏 @miguemontes1 🙏🏻🙏🏻
1 d1 Me gustaResponder
Necesitamos políticos como usted en España!!!🇪🇸
23 h1 Me gustaResponder
Este reel tiene 9 comentarios de Facebook.</t>
  </si>
  <si>
    <t>videos totales en Fb</t>
  </si>
  <si>
    <r>
      <rPr>
        <color rgb="FF1155CC"/>
        <u/>
      </rPr>
      <t>Instagram</t>
    </r>
  </si>
  <si>
    <t>1:42</t>
  </si>
  <si>
    <t>💙🤝 Shaira, Oscar, Brayan, Indira y Mauricio, desde su experiencia como personas con discapacidad visual, alzan su voz para recordar que la esperanza también se construye con inclusión, escucha y representación real. Hoy respaldan la candidatura de Miguel Montes Curi, convencidos de que las propuestas inteligentes deben pensarse para todos, sin excepciones.
Seguimos creyendo en una política que se siente, que escucha y que representa. ✨🇨🇴
#JacquelinePerea #MiguelMontesCuri #PropuestasInteligentes #Inclusión #bolívar</t>
  </si>
  <si>
    <t>👏👏👏
2 d1 Me gustaResponder
👏👏👏👏
2 d1 Me gustaResponder
Que bella lindo grupo MIGUE BRAVOOOOOO
2 d1 Me gustaResponder
Me encantó!!! 😍😍 C105💙💙💙
2 d1 Me gustaResponder
Una campaña que donde las propuestas inteligentes nos incluyen a todos👏💙💙
2 d1 Me gustaResponder
La inclusión lo es todo!👏 C105 🔵
2 d2 Me gustaResponder
👏👏👏👏
2 d1 Me gustaResponder
C105💙 👏👏Miguel montes un apoyo integral!!!!!
2 d1 Me gustaResponder
👏🏻💙
2 d1 Me gustaResponder
Maravilloso 👏👏🙏🙏👍👍👍💙💙💙💙
2 dResponder
Qué bonito 👏👏👏
2 d1 Me gustaResponder
👏
2 dResponder
Por una sociedad en igualdad de oportunidades y accesibilidad para todos C105💙💙💙
2 d1 Me gustaResponder
❤️
2 dResponder
Pensando en un espacio, para todos C105
2 d1 Me gustaResponder
🔥🔥🔥🔥👏🏼👏🏼👏🏼
2 d1 Me gustaResponder
🔥🔥🙌❤️
2 d1 Me gustaResponder
Ay me encanta 🙌❤️
2 d1 Me gustaResponder
Espectacular 👏👏👏👏🙌 @miguemontes1 💙🙏🏻
2 d2 Me gustaResponder
Valoro la cercanía y el respeto con los que Miguel Montes construye apoyo desde la inclusión.
2 d1 Me gustaResponder
En el Barrio El Pozón hay Líderes y Grupos de apoyo Jugando a dos Bandas y NO es 🎱 BILLAR🎱 ojo al Dato Campañas
1 d1 Me gustaResponder
Propuestas inteligentes para la población con discapacidad 👏👏👏💙💙 C 105
Gracias @nadamefrenaof
2 d2 Me gustaResponder
Este reel tiene 20 comentarios de Facebook.</t>
  </si>
  <si>
    <r>
      <rPr>
        <color rgb="FF1155CC"/>
        <u/>
      </rPr>
      <t>Instagram</t>
    </r>
  </si>
  <si>
    <t>0:48</t>
  </si>
  <si>
    <t>Salimos con la intención de explicar, pero terminamos haciendo algo mucho más valioso: escuchar.
Fue un diálogo real, sin afán. La gente habló, debatió con inteligencia y tocó corazones.
Porque cuando se escucha de verdad, también se aprende.
Y ahí empiezan las conversaciones que sí importan.
#MiguelMontesCuri #EscucharAlPueblo #ConversacionesReales #Colombiaton #Cartagena Bolívar Encuentro Diálogo</t>
  </si>
  <si>
    <t>Con toda migue! 🙌
2 d2 Me gustaResponder
El mejor 🙏🏾🙌🏾
2 d1 Me gustaResponder
🙌🙌🙌🔥
2 d1 Me gustaResponder
🙌
2 d1 Me gustaResponder
Vamos con todas 💪 🙌
2 d2 Me gustaResponder
El mejor @miguemontes1 👏👏👏🙌
2 d2 Me gustaResponder
Super espectacular palabra poderosa de ese joven así será en nombre de Dios nuestro próximo representante joven de cartagena poniendo el buen ejemplo para todos los jóvenes que miren que todos los sueños se cumplen si tienes ganas de que sean realidad
2 d1 Me gustaResponder
Excelente candidato Es un académico e intelectual de la política
2 d2 Me gustaResponder
👏👏👏👏
2 d1 Me gustaResponder
Vamos con toda!!
2 d1 Me gustaResponder
👏👏👏👏
2 d1 Me gustaResponder
Todo mi apoyo 👏
2 d1 Me gustaResponder
Firme 🔥
2 d3 Me gustaResponder
👏👏👏
2 d1 Me gustaResponder
🔥🔥🔥🔥👏👏👏🤍💙
2 dResponder
Vamos PA LANTE PRIMO! ❤️ vota C-105 ❤️❤️❤️❤️
2 d1 Me gustaResponder
C_ 105 Dios bendiga tu proyecto
1 d1 Me gustaResponder
Me encanta tu liderazgo @miguemontes1
2 d1 Me gustaResponder
Con Dios te tu mano adelante en este proyecto 🙏
2 d1 Me gustaResponder
Con todas @miguemontes1 C105💙🙌🏽
2 d1 Me gustaResponder
👏👏👏👏
2 d1 Me gustaResponder
Esooooo amigo ❤️
2 d1 Me gustaResponder
👏👏👏
2 dResponder
👏
2 dResponder
Pa' Lante hermano! @miguemontes1
2 d1 Me gustaResponder
🔥🙌❤️
2 d1 Me gustaResponder
Primero lo primero!!!👏👏🙌❤️
2 d2 Me gustaResponder
🔥🔥🔥C105💙💪🏻
2 d2 Me gustaResponder
Un pelao con Propuestas Inteligentes ese es Miguel Montes Curi nuestro pelao a la cámara de representante
2 d1 Me gustaResponder
C105 💙
2 d2 Me gustaResponder
👍🏻💪🏻 @miguemontes1
2 dResponder
C105 💙
2 d2 Me gustaResponder
Buen pollo Tiene Demasiado Cria Dos leyendas Montes y Curi
2 d1 Me gustaResponder
C-105 💙💙
2 d2 Me gustaResponder
🙌👏👏👏👏👏Cc105💙💙✨✨✨
2 d1 Me gustaResponder
La pesada carga de tu papá no dejara salir adelante.
2 d1 Me gustaResponder
Así es, el diálogo sereno fortalece la participación y el debate ciudadano. Cámara 105.
2 d2 Me gustaResponder
C 105
2 d1 Me gustaResponder
C105🔵
2 d1 Me gustaResponder
2 d1 Me gustaResponder
Este reel tiene 91 comentarios de Facebook.</t>
  </si>
  <si>
    <r>
      <rPr>
        <color rgb="FF1155CC"/>
        <u/>
      </rPr>
      <t>Instagram</t>
    </r>
  </si>
  <si>
    <t>📍🤝💙 Desde ya estamos demostrando, con solidez y pedagogía electoral, la importancia de enseñar y orientar a la ciudadanía, para seguir sacando adelante la candidatura de Miguel Montes Curi.
En el barrio Colombiatón acompañamos este encuentro ciudadano, compartiendo propuestas claras y caminando junto a la gente por Cartagena. 🚀🇨🇴
#MiguelMontesCuri #PedagogíaElectoral #C105 #Bolívar #JacquelinePerea</t>
  </si>
  <si>
    <t>🙌👏👏👏👏💙💙💙💙
3 d1 Me gustaResponder
Un muchacho con un carisma impresionante
3 d2 Me gustaResponder
💙💙💙
3 d1 Me gustaResponder
👏👏👏👏
3 d1 Me gustaResponder
👏👏👏👏🔥
3 d2 Me gustaResponder
Con toda!🔥👏
3 d2 Me gustaResponder</t>
  </si>
  <si>
    <r>
      <rPr>
        <color rgb="FF1155CC"/>
        <u/>
      </rPr>
      <t>Instagram</t>
    </r>
  </si>
  <si>
    <t>0:40</t>
  </si>
  <si>
    <t>En momentos de tensión internacional, Colombia necesita cabeza fría.
Frente a cualquier escenario de intervención extranjera, las decisiones deben tomarse con sensatez, serenidad y pensando siempre en lo que sea mejor para el país.
Ni el miedo ni los extremos construyen nación.
Lo que Colombia requiere es criterio, responsabilidad y visión de Estado.
🇨🇴📺
#OpiniónResponsable #VisiónDePaís #Soberanía #Colombia #AnálisisPolítico MiguelMontes C105</t>
  </si>
  <si>
    <t>👏👏👏 🔥 excelente migue
3 dResponder
Mi candidato👏
3 d1 Me gustaResponder
De acuerdo con Miguel
3 dResponder
👏
2 d1 Me gustaResponder
👏👏
3 d1 Me gustaResponder
ASÍ SE HABLA🔥🙌
3 d1 Me gustaResponder
Aquí en este joven con sus respuesta nos demuestra sus conocimientos y preparación para ser nuestro representante a la cámara por Bolívar C105 👏👏👏👏
3 dResponder
Excelente
3 dResponder
👏👏👏👏👏👏👏👏👏
2 d1 Me gustaResponder
Ocultado por Instagram
Si pero con Trump es muy dificil hay que tener Cuidado de ese sociopath y saber elegir a nuestro Proximo Presidente Colombiano 🙏🙏🫵🏼🫵🏼 CUIDEMOS NUESTRA DEMOCRACIA 💪💪👏👏👏👏</t>
  </si>
  <si>
    <r>
      <rPr>
        <color rgb="FF1155CC"/>
        <u/>
      </rPr>
      <t>Instagram</t>
    </r>
  </si>
  <si>
    <t>0:26</t>
  </si>
  <si>
    <t>Iniciamos recorridos en la Plazuela, El Gallo y Providencia, llevando las propuestas inteligentes de Miguel Montes Curi a cada sector 🤝
El respaldo ciudadano nos impulsa a seguir llegando a todos los rincones con el mensaje del C-105. 💙
#JacquelinePerea #MiguelMontesCuri #C105 #CámaraDeRepresentantes #Bolívar</t>
  </si>
  <si>
    <t>🔥🔥🔥
4 d2 Me gustaResponder
🔥🔥👏👏
4 d2 Me gustaResponder
Unidos somos más!! C105 💙
4 d1 Me gustaResponder
👏🔥🔥🔥🔥🔥🔥
4 d1 Me gustaResponder
🙌🙌🙌🙌
4 d2 Me gustaResponder
👏👏C105 la mejor opción a la camara
4 d3 Me gustaResponder
Equipo ganador C-105 💙
4 d2 Me gustaResponder
🔥🔥🔥🔥
4 d1 Me gustaResponder
🔥🔥🔥🔥
4 d3 Me gustaResponder
🔥🔥🔥🔥🔥
4 d1 Me gustaResponder
👏👏👏👏👏👏👏
4 d2 Me gustaResponder
VAMOS 💪🏼 @miguemontes1 💙
3 d3 Me gustaResponder
Equipo ganador C 105 Miguel monte curi 👏👏👏👏
4 d3 Me gustaResponder
Vamos 💪, que vamos🔥🔥
4 d1 Me gustaResponder
@miguemontes1 me diera un placer verte en el campo de batalla con este equipo caminando de sol a sol los sectores más populares de la ciudad y conocerte analizas y verás tu abuelo hizo mucho por Cartagena cosecha lo que sembró tu abuelo el gran Nicolás Curi Vergara.
4 dResponder
C105 💙
4 d3 Me gustaResponder
C 105🔥💙
4 d2 Me gustaResponder
C105 🔥🔥
4 d2 Me gustaResponder
Hoy los vi por el Sao dígale el candidato que camine con ustedes sería mejor verlo en la calle.
4 dResponder
C 105 💙🖌️
4 d1 Me gustaResponder
C 105 💙
4 d1 Me gustaResponder
C105
4 d3 Me gustaResponder
Este reel tiene 80 comentarios de Facebook.</t>
  </si>
  <si>
    <r>
      <rPr>
        <color rgb="FF1155CC"/>
        <u/>
      </rPr>
      <t>Instagram</t>
    </r>
  </si>
  <si>
    <t>0:29</t>
  </si>
  <si>
    <t>Un espacio donde las voces jóvenes cuentan. Diálogo e ideas libres.
#Jovenes #MiguelMontesCuri #C105 #Dialogo #Cartagena</t>
  </si>
  <si>
    <t>Firme Miguel! Te felicito por tu campaña y mis mejores deseos para ti en tu aspiración. Te veo sentado en la Cámara de Representantes buscando los espacios apropiados para el desarrollo de nuestra región. Nos vemos pronto 🔥
3 d1 Me gustaResponder
Vamos con toda 👏👏👏 los jóvenes merecen ser escuchados❤️
4 d1 Me gustaResponder
💙💙
4 d1 Me gustaResponder
Ese es mi candidato MIGUE MONTES vamos con todas 💪 de la mano de Dios 💪 👏 🙌 🙏
4 d2 Me gustaResponder
Excelente que los jóvenes conozcan de tu propuesta
4 d1 Me gustaResponder
👏👏👏🙌🙌 un núcleo de pensamientos frescos, claros y enfocados en mejorar con sabiduría , no repitiendo lo mismo ❤️
4 d2 Me gustaResponder
Ese es mi candidato 🙌🙌
4 d1 Me gustaResponder
De aquí salen las mejores ideas!!!!!!❤️❤️❤️❤️🔥🔥🔥🔥
4 d1 Me gustaResponder
Totalmente de acuerdo. Los jóvenes cuentan. Vota Miguel Montes, Partido Conservador · Cámara 105.
4 d1 Me gustaResponder
Respaldando ese espacio para los jóvenes. Vota Miguel Montes, Cámara 105.
4 d1 Me gustaResponder
Que irónico es el hijo de un ex parapolitico poniendo de fondo esta canción 😂
3 dResponder
🙌💙💙💙C 105 👏👏👏👏
4 dResponder</t>
  </si>
  <si>
    <r>
      <rPr>
        <color rgb="FF1155CC"/>
        <u/>
      </rPr>
      <t>Instagram</t>
    </r>
  </si>
  <si>
    <t>0:49</t>
  </si>
  <si>
    <t>Abramos un debate respetuoso y moderado.
Los invito a expresar opiniones concretas y fundamentadas, a recurrir a fuentes confiables e imparciales, y a evitar el sensacionalismo y el extremismo.
Usemos estas plataformas para deliberar, no para atacar.
#MiguelMontes #ContenidoParaPensar #DebateRespetuoso #PensamientoCrítico #Análisis</t>
  </si>
  <si>
    <t>Excelente, mi estimado.
4 d1 Me gustaResponder
Totalmente cierto así es mi candidato MIGUE MONTES 👏🙌❤️
4 d3 Me gustaResponder
👏👏
4 d1 Me gustaResponder
Ay Dios!
4 d1 Me gustaResponder
Primero la nación, nuestra soberanía se debe defender siempre, no podemos permitir que ningún agente externo venga a tratarnos como si fuéramos un fracaso de nación. Con todas las dificultades, somos un país de instituciones sólidas.
4 d6 Me gustaResponder
América del sur no puede considerarse el patio trasero de EE.UU, somos pueblos soberanos!
3 dResponder
Yo pienso que está bastante claro que no será una transición corta, sino una ocupación prolongada. Usa no interviene sin intereses, y en Venezuela el petróleo pesa más que el discurso de liberación. La salida de maduro pudo ser necesaria, pero el vacío de poder deja decisiones clave fuera de manos venezolans. Cambiar un autoritarismo local por control externo no es libertad, es solo otro relevo de poder con otros beneficiarios
4 d1 Me gustaResponder
En lo ideal Estados Unidos haría una intervención momentánea encaminada a una transición segura, pero desde el discurso que están sosteniendo en este momento se nota que tienen intereses económicos y que harán todo para sacar el mejor provecho de esta situación y jugar las cartas a su favor, es importante que los organismos internacionales sean veedores de este proceso porque no sería justo con Venezuela pasar de un tipo de opresión a otro, lo indicado sería que puedan restablecer su democracia en un punto no lo lejano y con las garantías necesarias.
4 d1 Me gustaResponder
Entender que la soberanía nacional transciende ideologías políticas y se vuelve un asunto de nación es un principio básico, ni las diferencias políticas o las emociones deben jugar un papel más importante que la integridad territorial de tú propio país, la política decente es acordar puntos en común no dejarse dominar por el odio y por las ganas de que eliminen al oponente con métodos bastante cuestionables.
4 d3 Me gustaResponder
Quisiera pensar que una fuerte presión e intervención de organismos internacionales propiciarían una transición legítima al menos en el mediano plazo pero hay dos factores que lo desvirtúan, Trump no los reconoce y ellos brillan por su ausencia, no por falta de voluntad sino por incapacidad estructural. Nuestros vecinos tienen el peor de los escenarios
4 d1 Me gustaResponder
Así es @miguemontes1 , lo único que puedo opinar que independientemente de los intereses que hayan de por medio que son obvios, los venezolanos se liberaron de una dictadura imposible de acabar, gracias a Dios 🙌, por algo se empezó 👏
4 d1 Me gustaResponder
Pienso que la soberanía se ve comprometida cuando actores externos intervienen en procesos políticos internos, especialmente a través del intervencionismo selectivo, que permite a Estados Unidos justificar su injerencia bajo discursos democráticos mientras condicionan la legitimidad de gobiernos y transiciones según sus propios intereses estratégicos, debilitando así el principio de autodeterminación
4 d2 Me gustaResponder
Se busca imponer la doctrina Monroe con resistencia del gobierno venezolano.
4 d4 Me gustaResponder
La situación de Venezuela es mucho más compleja de lo que a veces se quiere simplificar. Es evidente que el modelo actual ha fallado y ha causado un enorme sufrimiento al pueblo, pero también es válido cuestionar qué tipo de “salida” se está planteando. La intervención externa nunca es desinteresada y, en un país con tantos recursos estratégicos, pensar que todo se hace por altruismo sería ingenuo. Cambiar un autoritarismo interno por decisiones tomadas desde fuera no garantiza democracia ni bienestar. La verdadera solución debería pasar por los venezolanos, con acompañamiento internacional si es necesario, pero respetando la soberanía y la autodeterminación. Sin eso, cualquier transición corre el riesgo de convertirse en otro relevo de poder, con nuevos beneficiarios y las mismas consecuencias para la gente.
4 d3 Me gustaResponder
Mientras haya recursos que explotar en un país, estará un capitalista tras ellos; a veces evidente, a veces discreto. En este caso, seguramente, habrá un proceso lento y con muchas dificultades para llegar a esa democracia que tanto se anhela en Venezuela, pero se seguirán explotando los intereses económicos. Que resista Venezuela🇻🇪
4 d2 Me gustaResponder
Trump ha llegado a llamar a su política exterior la “Doctrina Donroe”, una reinterpretación de la Doctrina Monroe que revive una lógica de dominación histórica sobre América Latina. Que una doctrina creada hace más de 200 años vuelva a aplicarse hoy, y además con un enfoque más agresivo y unilateral, no es solo anacrónico: es aún más peligroso. En estos momentos este planteamiento representa un riesgo real para la soberanía de América Latina, no solo de Venezuela.
4 d1 Me gustaResponder
El propósito del gobierno de EEUU, es tener el control estratégico de Venezuela, no sólo por el petróleo sino por el constante tránsito que hacen organizaciones terroristas como Hezbolá en ese territorio. Además de protegerse en sus intereses económicos, EEUU está cuidando que sus enemigos orientales asienten sus bases en el patio de su propia casa.
4 dResponder
Yo francamente creo que existirá una ocupación prolongada, pero por meros intereses económicos. El país capitalista por excelencia, va por su capital. Y mientras eso sucede, se le darán vueltas y vueltas a la democracia que merece 🇻🇪.
4 d1 Me gustaResponder
Incertidumbre absoluta
4 d1 Me gustaResponder
Pienso que se intenta vender la idea de que ahora ya no se negociará con un dictador, que la famosa transición será llevada bajo la "supervisión" de los Estados Unidos pero sin otorgarle el poder a aquellos que se creían. Mandando un mensaje claro y real; la oposición en Venezuela no existe.</t>
  </si>
  <si>
    <r>
      <rPr>
        <color rgb="FF1155CC"/>
        <u/>
      </rPr>
      <t>Instagram</t>
    </r>
  </si>
  <si>
    <t>1:22</t>
  </si>
  <si>
    <t xml:space="preserve">Lo que acaba de pasar puede tener inmensas repercusiones a nivel global y amenazar la diplomacia internacional. Por eso es importante que nos informemos, entendamos diferentes perspectivas del problema y contemplemos soluciones pacíficas.
#MiguelMontes #Geopolítica #Actualidad #PensamientoCrítico #Diplomacia C105
</t>
  </si>
  <si>
    <t>Excelente punto de vista 👏🏻❤️
1 sem3 Me gustaResponder
👏
1 sem1 Me gustaResponder
Excelente MIGUE MONTES buen análisis 👍 👏
1 sem5 Me gustaResponder
👏👏👏
6 d1 Me gustaResponder
🔥🔥👏👏👏👏
1 sem1 Me gustaResponder
👏👏👏
1 sem1 Me gustaResponder
🙏🤩
6 d1 Me gustaResponder
Excelente análisis!!!!
1 sem2 Me gustaResponder
👏👏👏👏👏 excelente análisis mi representante
1 sem1 Me gustaResponder
👏👏👏
1 sem1 Me gustaResponder
👏👏👏
1 semResponder
Excelente Analisis👏🙌
1 sem2 Me gustaResponder
👏👏👏👏excelente @miguemontes1 💙
1 sem3 Me gustaResponder
👏👏👏👏👏👏
1 sem1 Me gustaResponder
👏👏👏👏 excelente conclusión Miguel
5 d1 Me gustaResponder
🦁
1 sem1 Me gustaResponder
Lo que ocurre nos recuerda lo frágil que es el equilibrio global. Informarnos, cuestionar y comprender más allá de los titulares es un acto de responsabilidad. Ojalá prime la sensatez, el diálogo y la vida por encima de cualquier interés.
1 sem2 Me gustaResponder
Gracias por decir las cosas como son, a diferencia de tantos otros políticos de este país. Un abrazo, Miguel.
1 sem3 Me gustaResponder
Muy de acuerdo mi repre @miguemontes1. La estabilidad regional solo es sostenible cuando se respeta el derecho internacional.
1 sem6 Me gustaResponder
Tienes una mente revolucionaria, un ser que piensa, cuestiona y habla sin miedo con la verdad, pero vivimos en mundo donde reina la mentira , todo lo que nos han enseñado en los libros de historia es falso, las noticias solo dicen lo que queremos escuchar, tú eres un ser despierto iluminado, el monstruo con quien te enfrentas es muy grande. Continúa con tu propósito, Dios tiene grandes cosas para ti.
6 d1 Me gustaResponder
La gravedad del contexto exige respuestas, pero también criterio analítico. En política internacional, el marco jurídico, los mecanismos utilizados y la gestión del relato y de la incertidumbre son determinantes para la legitimidad, la gobernabilidad y los escenarios que se abren después.
1 sem3 Me gustaResponder
Tremenda demostración de democracia!!??? De quien serán los recursos de los venezolanos en los próximos 20 años , a donde se irán todos esos dineros y beneficios? Que tristeza que las corporaciones multinacionales tengas tal poder de adueñarse de países.
1 sem2 Me gustaResponder
La actuacion de Estados Unidos se fundamenta en la defensa de la democracia, los derechos humanos y la legalidad internacional.
1 semResponder
Nicolás Maduro y su dictadura son responsables de uno de los mayores colapsos humanitarios de América Latina. Más de 36.800 víctimas de tortura y violencia estatal, 18.305 detenidos políticos, 10.000 ejecuciones extrajudiciales y 468 personas asesinadas durante protestas. A esto se suman 8.000 casos registrados de violaciones a los derechos humanos, 400 medios de comunicación cerrados o censurados y 8 millones de venezolanos forzados a abandonar su país. Un régimen que llevó al 90% de la población a la pobreza, al 50% a la pobreza extrema, con un salario mínimo de apenas 3 dólares, no puede llamarse gobierno democrático. La historia exige justicia.
Que viva el bravo pueblo de Venezuela 🇻🇪
6 d1 Me gustaResponder
@miguemontes1 esto es política, el mismo pueblo venezolano no pudo resolver esta situación que de hecho hace muchos años se les salió de las manos, ahora un gobierno cómo el de Maduro que ultraja civiles y tortura ya no puede seguir en el poder, la decisión se tenia que tomar y eso se hizo, claramente aquí ya no se podía más dialogar cómo sugerían algunas persona y esperemos que la transición sea pacífica y democrática.
1 sem1 Me gustaResponder
Perdiste el voto d e mucha gente compa por ese análisis
1 semResponder
Se respeta el derecho internacional cuando el presidente no es un delincuente.
1 sem3 Me gustaResponder
Este reel tiene 1 comentario de Facebook.</t>
  </si>
  <si>
    <r>
      <rPr>
        <color rgb="FF1155CC"/>
        <u/>
      </rPr>
      <t>Instagram</t>
    </r>
  </si>
  <si>
    <t>1:02</t>
  </si>
  <si>
    <t>El deporte no es solo competencia.
Es encuentro, es comunidad, es disciplina y oportunidad. ⚾🤝
Cuando apoyamos el deporte cartagenero y bolivarense,
invertimos en salud, en valores, en cultura y en futuro.
Hoy jugamos, conversamos y compartimos una certeza:
Bolívar necesita más escenarios, más apoyo y mejor infraestructura deportiva.
Porque aquí hay talento.
Y el talento también merece condiciones dignas. 🏟️🔥
#DeporteEsFuturo #BolívarDeporte #Cartagena #InfraestructuraDeportiva #Juventud Barrio Comunidad C105</t>
  </si>
  <si>
    <t>👏👏
1 semResponder
🔥🔥🔥
1 sem1 Me gustaResponder
👏👏
1 sem1 Me gustaResponder
Super espectacular Lastima que no me invitarte ni campeón la próxima espero tu invitación te queremos campeón
1 sem1 Me gustaResponder
Que bueno migue. Así es el deporte es una puerta grande en la cual hay buenas oportunidades
1 sem1 Me gustaResponder
👏👏👏
1 sem1 Me gustaResponder
Súper C105 💙
1 semResponder
Los sueños se luchan y se valoran @miguemontes1 👏
1 semResponder
Excelente Migue!! Así es! Es importante apoyar y celebrar el talento del béisbol cartagenero! Vamos con toda!👏🏽👏🏽💙💙⚾️ @miguemontes1
1 sem4 Me gustaResponder
Próximamente te invitaremos a uno de fútbol @miguemontes1
1 sem1 Me gustaResponder
Qué candidato💙😍😍😍
1 sem1 Me gustaResponder
Orgullosa 👏
1 semResponder
👏👏👏👏👏🔥🔥🔥🔥
1 sem1 Me gustaResponder
❤️❤️❤️
1 semResponder
👏👏👏👏
1 semResponder
Equipo ganador!!!💙💙💙
1 sem1 Me gustaResponder
Aquí nunca hemos sido FUTBOLISTAS , Aquí hemos sido BEISBOLISTAS, BOXEADORES Y MÚSICOS . Muy bien Miguel .
2 dResponder
Tremenda propuesta Debe ser lo MAs imnovador Que eh escuchado en años . 👏
1 dResponder
Grande @miguemontes1 👏👏👏👏🙌 excelente💙
1 semResponder
👏👏👏👏👏👏👏
1 sem1 Me gustaResponder
Este sí es un candidato completo. ¿Hay algo que haga mal, Migue? 😮🔥
1 sem1 Me gustaResponder
👏👏👏 excelente...
1 sem1 Me gustaResponder
🔥🙌🙌❤️❤️🔥👏
1 semResponder
Eres uno de loa Meyer super campeón en la cámara para que los jóvenes se contagien
1 sem1 Me gustaResponder
Candidatazoooo👏👏💙
10 hResponder
😂👏👏👏 elegante
1 sem1 Me gustaResponder
Ese es mi candidato, comprometido con y para el deporte ✅🫡
1 sem1 Me gustaResponder
👏👏👏 C105
1 sem1 Me gustaResponder
Excelente es un gran campo cuando pequeño me quedaba viendo los partidos hasta muy tarde recupéreme
6 d1 Me gustaResponder
No vas en la banca estas bien ni un solo voto por los partidos tradicionales
6 d1 Me gustaResponder
Ese Estadio no lo Remodelan o Reconstruyen por qué no Hace parte de los Bienes que se ha propia el IDER ( para monopolizar)
4 d1 Me gustaResponder
Este reel tiene 15 comentarios de Facebook.</t>
  </si>
  <si>
    <r>
      <rPr>
        <color rgb="FF1155CC"/>
        <u/>
      </rPr>
      <t>Instagram</t>
    </r>
  </si>
  <si>
    <t>1:26</t>
  </si>
  <si>
    <t>Con el objetivo de resaltar la historia y resiliencia de Cartagena, el candidato a la Cámara de Representantes por el Partido Conservador, Miguel Montes Curi, realizó un video tipo experimento social en las calles del Centro Histórico, en el que dialogó con turistas y ciudadanos cartageneros sobre el significado de las emblemáticas murallas de la ciudad.
Durante la actividad, el candidato abordó a personas de diferentes nacionalidades y edades, invitándolas a reflexionar sobre el valor histórico, cultural y simbólico de las murallas, una de las estructuras más representativas de Cartagena y testimonio de su pasado colonial, su resistencia y su identidad como ciudad.
La actividad ha generado reacciones positivas en plataformas digitales, donde usuarios destacaron la importancia de promover espacios pedagógicos y culturales que inviten a valorar el legado histórico de la capital de Bolívar.</t>
  </si>
  <si>
    <t>👏👏👏👏
2 sem2 Me gustaResponder
👏👏👏
2 sem2 Me gustaResponder
😍😍😍
2 sem2 Me gustaResponder
👏👏👏
2 sem2 Me gustaResponder
👏
2 sem2 Me gustaResponder
👏👏👏
2 sem2 Me gustaResponder
👏👏👏
2 sem2 Me gustaResponder
👏👏👏👏
2 sem2 Me gustaResponder
Muy buena pedagogía 👏👏👏. Usted es la mejor opción 👏👏👏😍
2 sem3 Me gustaResponder
🙌🙌🙌🔥
2 sem2 Me gustaResponder
🙌🙌🙌
2 sem2 Me gustaResponder
👏👏👏👏
2 sem2 Me gustaResponder
👏👏👏
4 dResponder
👏👏
2 sem2 Me gustaResponder
👏👏👏👏👏
2 sem2 Me gustaResponder
👏👏👏👏
2 sem5 Me gustaResponder
🙌🙌🙌❤️❤️❤️❤️
2 sem2 Me gustaResponder
👏👏👏👏
2 sem2 Me gustaResponder
❤️❤️❤️❤️❤️❤️❤️❤️
1 sem1 Me gustaResponder
👏👏excelente @miguemontes1 💙
2 sem2 Me gustaResponder
❤️❤️❤️❤️
1 sem2 Me gustaResponder
Excelente 👏 representante
1 sem1 Me gustaResponder
👏👏👏👏👏
2 sem2 Me gustaResponder
❤️❤️👏👏@miguemontes1
2 sem2 Me gustaResponder
@misterkipke
2 sem2 Me gustaResponder
👏👏👏 @miguemontes1
2 sem2 Me gustaResponder
Jajajajajajajajajajajajaaja ahora en elecciones hasta son guías turísticos
1 sem2 Me gustaResponder
@anacontreras___ @hgomez277
1 sem3 Me gustaResponder
Para tiempos de elecciones se ve de todo 😂
1 sem7 Me gustaResponder
Este reel tiene 5 comentarios de Facebook.</t>
  </si>
  <si>
    <r>
      <rPr>
        <color rgb="FF1155CC"/>
        <u/>
      </rPr>
      <t>Instagram</t>
    </r>
  </si>
  <si>
    <t xml:space="preserve">¿Habías pensado que cada vez que visitas las murallas de Cartagena caminas por estructuras de más de 400 años de antigüedad?🧱🌊
Salimos a preguntarles a locales y extranjeros cuánto conocen de la historia de nuestra ciudad.
Porque Cartagena no es solo turismo:
es resistencia, estrategia, memoria y carácter.
Conocer nuestra historia no es simplemente un dato curioso…
es entender quiénes somos y por qué esta ciudad es única en el mundo.
#Cartagena #HistoriaDeCartagena #MurallasDeCartagena
#CartagenaAmurallada #CulturaCartagenera
Identidad HistoriaViva EducaciónCiudadana
CartagenaParaElMundo OrgulloCartagenero
Bolívar C105 MiguelMontes
</t>
  </si>
  <si>
    <t>Divino El! Con su inglés intacto! ❤️🙌
2 sem3 Me gustaResponder
👏👏👏👏🙌
2 sem2 Me gustaResponder
Excelente🔥🔥
2 sem3 Me gustaResponder
👏👏👏👏👏👏👏
1 sem1 Me gustaResponder
Al final todos terminamos bebiendo de la frescura, la magia y el sabor a sol, brisa y mar de nuestra Cartagena porque la vida es buena. ¡Salud! 🍻🤗
1 sem1 Me gustaResponder
👏👏👏👏
2 sem3 Me gustaResponder
Excelente 🙌🏾
2 sem2 Me gustaResponder
Excelente 👏👏
2 sem2 Me gustaResponder
👏👏👏👏
2 sem2 Me gustaResponder
Conocimiento e inteligencia C105 👏👏👏👏
2 sem3 Me gustaResponder
Ya tengo un nuevo tema de conversación 👏
1 sem1 Me gustaResponder
👏👏
2 sem8 Me gustaResponder
Contenido que impacta 👏🔥
1 sem2 Me gustaResponder
Esooo 👏🏻
2 sem4 Me gustaResponder
👏👏👏👏👏
2 sem2 Me gustaResponder
Divino El! Con su inglés intacto! ❤️🙌
2 sem3 Me gustaResponder
👏👏👏👏🙌
2 sem2 Me gustaResponder
Excelente🔥🔥
2 sem3 Me gustaResponder
👏👏👏👏👏👏👏
1 sem1 Me gustaResponder
Al final todos terminamos bebiendo de la frescura, la magia y el sabor a sol, brisa y mar de nuestra Cartagena porque la vida es buena. ¡Salud! 🍻🤗
1 sem1 Me gustaResponder
👏👏👏👏
2 sem3 Me gustaResponder
Excelente 🙌🏾
2 sem2 Me gustaResponder
Excelente 👏👏
2 sem2 Me gustaResponder
👏👏👏👏
2 sem2 Me gustaResponder
Conocimiento e inteligencia C105 👏👏👏👏
2 sem3 Me gustaResponder
Ya tengo un nuevo tema de conversación 👏
1 sem1 Me gustaResponder
👏👏
2 sem8 Me gustaResponder
Contenido que impacta 👏🔥
1 sem2 Me gustaResponder
Esooo 👏🏻
2 sem4 Me gustaResponder
👏👏👏👏👏
2 sem2 Me gustaResponder
Demasiadooooo!!!! Eres el mejor mi amor!!! INCREÍBLE! Sigamos instruyendo a nuestros ciudadanos sobre la historia de nuestra ciudad preciosa!!!!😍😍😍
2 sem2 Me gustaResponder
Excelente @miguemontes1
1 sem1 Me gustaResponder
Excellent English! Go for it, cousin! Your charisma and skill are unique and incomparable! Love you..
1 sem2 Me gustaResponder
👏👏👏👏Excelente
2 sem2 Me gustaResponder
Queee contenido enriquecedor, con enfoque crítico y gran valor histórico 🧑‍🏫
2 sem2 Me gustaResponder
Que nivel el de Miguel!!!👏👏👏
2 sem7 Me gustaResponder
Datasoo 🤩
2 sem3 Me gustaResponder
Es importante tener representante que realmente conozca nuestra historia
1 sem1 Me gustaResponder
Pfff hoy le pedimos al gobierno que las construya y cobra más que eso. Cuánto cuesta el metro en Bogotá? Analiza
2 sem4 Me gustaResponder
@valebossiot @mayojinet @skaochoa
2 sem2 Me gustaResponder
Crack 🙌
2 sem2 Me gustaResponder
Inteligente como @martaceciliacuri 👏
1 sem1 Me gustaResponder
Excelente 👌
1 sem6 Me gustaResponder
San Felipe castle is beautiful, I love it
5 d5 Me gustaResponder
Excelente gracias por Informarnos
1 sem2 Me gustaResponder
Que buena esta actividad... felicitaciones
6 dResponder
@francyslcp
3 d1 Me gustaResponder
@_asab24_
1 d1 Me gustaResponder
@fjsanch3z
2 d1 Me gustaResponder
L
1 semResponder
L
1 semResponder
👏👏👏
1 sem3 Me gustaResponder
Ll
1 semResponder
😍😍😍😍😍
2 d1 Me gustaResponder
El costo economico valio la pena, siglos y aun en pie, no como un bloque de cemento con una media de 30 años...y eso, para.ayudarle un poco al numero
4 dResponder
L
1 semResponder
JAJAJAJAJAJA Cualquier payasada es válida para ocultar el clan del que vienes 🤣🤣🤣🤣
6 dResponder
El turista viene instruido, al que hay que hacerle las preguntas es a los locales qué solo saben estafar a los visitantes y no tienen ni idea de la riqueza cultural que los rodea
1 sem6 Me gustaResponder
@edwin.narvaez.1650 Sabias que cartagena como provincia, ojo no como ciudad, tuvo 2 presidentes de Colombia. Te lo informa un nativo y no ando estafando a nadie. Vivo de la agricultura del arroz sembrado en el área urbana de la ciudad ( cosa que de seguro tampoco sabias) y no estafando a nadie. Así que no generalices.
1 sem5 Me gustaResponder
@rick777950. Amigo por supuesto que no generalizo y además le puedo decir que a pesar de no ser de aquí, lleva más de la mitad de mi vida viviendo en la ciudad y he sido testigo por más de treinta años de como se ha estado el desarrollo de la ciudad. Y por supuesto que soy consciente que así como usted hay muchos nativos preparados para exponer la riqueza cultural y las raíces y bases de la conformación y estructuracion de la misma. Pero sin decirnos mentiras, sabemos que al turista se le atiende muy mal y es precisamente por que quienes deben guiarlos llos llevan por una ruta muy diferente a la que tienen que seguir y usted y yo y todos sabemos que en gran porcentaje, los nativos que atienden de manera informall al turista, no le queda de otra que trata de estafarlo precisamente por no tener conocimiento de causa ni sentido pertenencia. Perdón si resultó ofendido, igual debo reconocer que como usted hay muchos cartageneros dispuestos a dejar a su ciudad muy en alto.... Saludos</t>
  </si>
  <si>
    <r>
      <rPr>
        <color rgb="FF1155CC"/>
        <u/>
      </rPr>
      <t>Instagram</t>
    </r>
  </si>
  <si>
    <t>0:56</t>
  </si>
  <si>
    <t>Que esta Navidad nos permita reconectar con familiares y viejos amigos para compartir las historias que nos hicieron.
Aprovechemos lo que queda del año para fijar los objetivos que queremos lograr en el 2026.</t>
  </si>
  <si>
    <t>🙌🏻✨
2 sem3 Me gustaResponder
😍😍😍
2 sem3 Me gustaResponder
👏👏vamos de la mano de Dios🙌 @miguemontes1 💙
2 sem1 Me gustaResponder
Alegría,amor y esperanza a los niños, gracias Miguel.
2 sem4 Me gustaResponder
Te amoooooo
2 sem2 Me gustaResponder
🔥❤️❤️❤️❤️
2 sem2 Me gustaResponder
❤️❤️❤️
2 sem1 Me gustaResponder
Firme mi llave... Sigue con el legado de tu abuelo Nicolas🔥👏
2 sem2 Me gustaResponder
Migue tu eres un joven muy preparado para representarnos y defender a Bolívar así que vamos con toda 👏👏👏
2 sem4 Me gustaResponder
Los caracoles, barrio que me vio crecer. @miriambarrio_ siempre con ese espíritu navideño entregando tanto.
2 sem4 Me gustaResponder
❤️
2 sem2 Me gustaResponder</t>
  </si>
  <si>
    <r>
      <rPr>
        <color rgb="FF1155CC"/>
        <u/>
      </rPr>
      <t>Instagram</t>
    </r>
  </si>
  <si>
    <t>1:44</t>
  </si>
  <si>
    <t>🎄 La Navidad también se construye con tiempo, con presencia y con pequeños actos que se quedan en la memoria.
Hoy compartimos buñuelos, risas, almuerzo, galletas decoradas con amor y, sobre todo, momentos que no se olvidan.
gracias a ti, amor @walomeca ❤️, por acompañarme siempre, por caminar conmigo cada paso y por tener esa capacidad tan linda de hacer felices a los niños con lo más simple: atención, cariño y alegría.
Hoy confirmé algo:
cuando uno se entrega de verdad, recibe mucho más de lo que da.
Que esta Navidad nos recuerde que la esperanza también se cocina, se comparte y se celebra en comunidad ✨🎁</t>
  </si>
  <si>
    <t>Súper migue 🙌
2 sem2 Me gustaResponder
Feliz navidad ❤️
2 sem2 Me gustaResponder
Feliz Navidad ❤️🙌🔥
2 sem2 Me gustaResponder
Feliz Navidad. 🎄❤️
2 sem2 Me gustaResponder
Feliz navidad ❤️ @miguemontes1 el mejor 👏
2 sem1 Me gustaResponder
Felizzzzz Navidad 😍👏❤️
2 semResponder
Compartir estos momentos a tu lado es tan precioso!!!! ❤️🙌 POR MUCHOS MÁS!
Feliz navidad a TODOS!
2 sem4 Me gustaResponder
Feliz navidad 🎁
2 sem2 Me gustaResponder
Feliz navidad @miguemontes1
2 sem2 Me gustaResponder
Feliz navidad 🎄🎄🎄 C105 Bendiciones
2 sem1 Me gustaResponder
No hay época más bonita que la Navidad! 🎄 Navidad 🎅 ❤️
2 sem3 Me gustaResponder
Migue feliz navidad 🎄
2 sem2 Me gustaResponder
@miguemontes1 el mejor 😍
2 sem2 Me gustaResponder
🙌🙌🙌
2 sem2 Me gustaResponder
❤️
2 sem2 Me gustaResponder
👏👏👏👏👏👏
2 sem2 Me gustaResponder
Feliz navidad migue 👏👏👏
2 sem2 Me gustaResponder
Feliz navidad
2 sem2 Me gustaResponder
👏👏👏🤗🥰
2 sem2 Me gustaResponder
👏👏👏👏👏
2 sem2 Me gustaResponder
👏❤️❤️❤️
2 semResponder
👏👏👏👏👏👏👏👏👏❤️🔥
2 sem2 Me gustaResponder
Hola ❤️🙌
2 semResponder
Nobleza y carisma
2 sem2 Me gustaResponder
Feliz navidad 🎄
2 sem2 Me gustaResponder
Nuestro representante a la cámara Miguel Montes Curi 105, por un nuevo Bolívar y una Nueva Cartagena.
2 sem2 Me gustaResponder
Yo quiero saber si @martaceciliacuri también cocina así de bien cómo tú @miguemontes1
2 sem2 Me gustaResponder
Este reel tiene 5 comentarios de Facebook.</t>
  </si>
  <si>
    <r>
      <rPr>
        <color rgb="FF1155CC"/>
        <u/>
      </rPr>
      <t>Instagram</t>
    </r>
  </si>
  <si>
    <t>1:06</t>
  </si>
  <si>
    <t>Los jóvenes no se alejaron de la política.
La política se alejó de ellos.
Escuchar también es hacer política.
Algunos decidimos empezar a hacerlo distinto. C105.
#JuventudConVoz #HacerPolíticaBien #EducaciónConSentido #BolívarConFuturo #MiguelMontesCuri</t>
  </si>
  <si>
    <t>👏👏👏😍
2 sem1 Me gustaResponder
👏
2 sem1 Me gustaResponder
👏👏👏
2 sem1 Me gustaResponder
Así es !!!
2 sem2 Me gustaResponder
👏👏👏👏👏👏
2 sem1 Me gustaResponder
🔥🔥🔥
2 sem1 Me gustaResponder
👏❤️ Creemos en proyectos como este.
2 sem2 Me gustaResponder
Bendiciones mi hermano querido 🔥
2 sem1 Me gustaResponder
👏👏👏👏
2 sem1 Me gustaResponder
🙌👏👏👏 el mejor C-105💙
1 sem1 Me gustaResponder
Llegó el candidato que representa la juventud❤️ vamos con toda Migue👏👏👏
2 sem3 Me gustaResponder
Vamos con todas 💪 🙌 MIGUE MONTES
2 sem3 Me gustaResponder
👏💙👏💙… tú eres !! 105C
2 sem1 Me gustaResponder
👏👏👏
2 sem1 Me gustaResponder
Excelente 👏👏👏
2 sem2 Me gustaResponder
🔥
2 sem2 Me gustaResponder
Tu capacidad y trabajo obtendras esa curul de la Cámara de Representante con él apoyo de todos nosotros
1 sem1 Me gustaResponder
Dios te bendiga migue 🙏🫂
2 sem1 Me gustaResponder
C105 lo hace distinto 💙
2 sem1 Me gustaResponder
❤️
2 sem1 Me gustaResponder
Con toda, C-05🔥
2 sem1 Me gustaResponder
La política no es solo de los de siempre: es el espacio donde tu voz, tus ideas y tus sueños pueden cambiar el rumbo de lo que vivimos hoy y de lo que vendrá mañana, los jóvenes confiamos en el 🔵C105
2 sem1 Me gustaResponder
Firmes 👍
2 sem1 Me gustaResponder
C105 con toda @miguemontes1
2 sem1 Me gustaResponder
CON TODA
2 sem2 Me gustaResponder
Vamos @miguemontes1 estamos firme!
2 sem1 Me gustaResponder
Así es Migue. Pero tú vas a marcar la diferencia, por qué tienes el conocimiento, el potencial para recuperar esa confianza y participen activamente todos jóvenes, y personas de todos los grupos de edades
2 sem2 Me gustaResponder
Mi candidato al 100👏
2 sem1 Me gustaResponder
MIGUEL CON TU FUETZA JUVENTUD LLEGAMOS LEJOS
2 sem2 Me gustaResponder
vamos representante
2 sem1 Me gustaResponder
C105 👏👏👏
2 sem1 Me gustaResponder
C105 👏👏👏
2 sem1 Me gustaResponder
C 105 partido Conservador Miguel Montes Curi
1 sem1 Me gustaResponder
C 105 @miguemontes1 👏
2 sem1 Me gustaResponder
Mi apoyo a Miguel Montes por creer en la juventud y promover una política con futuro.
1 sem2 Me gustaResponder
Estamos como el Gran Grupo ,Confundidos
1 sem2 Me gustaResponder
Pura verdad...
1 sem1 Me gustaResponder
Pero en este momento necesitamos de su apoyo para salvar a Colombia del caos que ha Sido este gobierno por lo tanto su unión al tiempo de votar es necesario su participación pilas por el país
1 sem2 Me gustaResponder
Analicen
1 sem1 Me gustaResponder
Compa, la corrupción no es una percepción, es una realidad que en el desgobierno del cambio ha sido peor que en los anteriores... Los únicos jóvenes que salieron favorecidos en este cuatrienio fueron los de la primera línea. 🤷‍♂️
PD. 🐅 🤷‍♂️ 🐅
1 sem1 Me gustaResponder
Los viejos tampoco creemos
1 sem1 Me gustaResponder
Por eso los jóvenes votaron por el actual pre y ahora quieren la constituyente no nesita estar en partido solos Alice
1 sem2 Me gustaResponder
Hijo de william montes y nieto de cury hablando de corrupcion jajajajaja que payasada
1 semResponder
​¡Atención, Bolívar! Ha llegado el momento de tomar las riendas de nuestro futuro y apostar por una transformación real. Te invito a sumarte con entusiasmo y convicción al proyecto de Miguel Montes Kuri, el hombre que encarna el verdadero cambio que nuestro departamento tanto necesita. No se trata solo de un voto, sino de la oportunidad de elegir liderazgo, integridad y progreso para nuestras familias. Salgamos todos este día a las urnas con la frente en alto; elijamos la renovación, elijamos un Bolívar mejor. ¡Miguel Montes Curi es el camino!
2 semResponder
Este reel tiene 1 comentario de Facebook.</t>
  </si>
  <si>
    <r>
      <rPr>
        <color rgb="FF1155CC"/>
        <u/>
      </rPr>
      <t>Instagram</t>
    </r>
  </si>
  <si>
    <t>1:04</t>
  </si>
  <si>
    <t>¿Conoces realmente tu ciudad?
Hoy salimos a caminar Cartagena y a hacer una pregunta sencilla: ¿qué tanto sabemos de nuestra propia historia?
Todos los días transitamos calles que fueron escenario de batallas y personajes que marcaron los siglos XVII, XVIII y XIX.
Entre ellos, el almirante Blas de Lezo, protagonista de uno de los episodios más importantes de la defensa de la ciudad. Recordar no es nostalgia: es identidad.
Y conocer nuestra historia es el primer paso para defender lo que somos y proyectar lo que podemos ser.
📍Cartagena no es solo postal: es memoria viva.
#Cartagena #HistoriaDeCartagena #BlasDeLezo #MemoriaHistórica #EducaciónCívica Identidad Territorio CulturaCiudadana Bolívar C105</t>
  </si>
  <si>
    <t>😍
3 sem1 Me gustaResponder
Excelente ejercicio! 👏👏
3 sem1 Me gustaResponder
👏👏
3 sem1 Me gustaResponder
Súper está Dinamica 👏👏
3 sem1 Me gustaResponder
Excelente espectacular mi candidato MIGUE MONTES admirable tu inteligencia super vamos mi candidato 👍 🙌❤️
3 sem3 Me gustaResponder
👏
3 sem1 Me gustaResponder
👏👏👏👏👏👏
3 sem1 Me gustaResponder
Buenísimo 👏
3 sem1 Me gustaResponder
👏👏👏👏
3 sem1 Me gustaResponder
Me encantaaaa, más datos curiosos 👏
3 sem2 Me gustaResponder
Excelente dinámica 👏👏👏 @miguemontes1 😍
3 sem1 Me gustaResponder
👏
3 sem2 Me gustaResponder
👏👏👏👏👏
3 sem1 Me gustaResponder
👏👏
3 sem1 Me gustaResponder
El saber es poder! Aprendiendo.
3 sem2 Me gustaResponder
😍
3 sem1 Me gustaResponder
Excelente ejercicio! 👏👏
3 sem1 Me gustaResponder
👏👏
3 sem1 Me gustaResponder
Súper está Dinamica 👏👏
3 sem1 Me gustaResponder
Excelente espectacular mi candidato MIGUE MONTES admirable tu inteligencia super vamos mi candidato 👍 🙌❤️
3 sem3 Me gustaResponder
👏
3 sem1 Me gustaResponder
👏👏👏👏👏👏
3 sem1 Me gustaResponder
👏👏👏👏
3 sem1 Me gustaResponder
Buenísimo 👏
3 sem1 Me gustaResponder
Me encantaaaa, más datos curiosos 👏
3 sem2 Me gustaResponder
Excelente dinámica 👏👏👏 @miguemontes1 😍
3 sem1 Me gustaResponder
👏
3 sem2 Me gustaResponder
👏👏👏👏👏
3 sem1 Me gustaResponder
👏👏
3 sem1 Me gustaResponder
El saber es poder! Aprendiendo.
3 sem2 Me gustaResponder
Espectacular @miguemontes1 mi admiración total👏👏🙌💪💯
3 sem1 Me gustaResponder
Este va ser nuestro próximo representantes a la cámara 🔥❤️lindo es soñar
3 sem1 Me gustaResponder
Amén Amén y amén super espectacular esa estrategia sabes mi representante muchos cartageneros usted le pregunta y no saben buen ejercicio mental
3 sem2 Me gustaResponder
Excelente 👏
3 sem1 Me gustaResponder
AMO AMO AMOOO!!! 😍
3 sem1 Me gustaResponder
👏👏👏 Súper!!!
3 sem1 Me gustaResponder
Cada calle guarda una historia que merece ser contada. Gracias por recordarnos que la memoria también construye futuro. ✨ @miguemontes1 excelente 👌
3 sem2 Me gustaResponder
Cultura q lindo eso ! , 👏👏👏👏@miguemontes1 bendiciones !
3 sem1 Me gustaResponder
Así es como se empieza a amor una ciudad por su historia
3 sem2 Me gustaResponder
La valentía y el empeño en lograr la victoria convirtió a Lezo en nuestro gran héroe popular “EL MEDIO HOMBRE” Cojo, manco y tuerto.
Gracias por motivar y educar en cultura y nuestra historia. 👏🏾💙🤍
3 sem2 Me gustaResponder
👏👏👏👏👏👏🔥🙌🙌
3 sem1 Me gustaResponder
🔥🔥
3 sem1 Me gustaResponder
🔥🔥👏👏👏 @mr.miami27 pa que aprendas un poquito
3 sem2 Me gustaResponder
🙌 excelente Miguel 👌
3 sem2 Me gustaResponder
C105 ese es mi candidato
3 sem1 Me gustaResponder
Ahora estuviéramos hablando inglés, si Blas de Lezo no se hubiera parado duro 😅
3 sem1 Me gustaResponder
@miguemontes1 👏🙌🙌
3 sem1 Me gustaResponder
🔥🔥🔥🔥🔥🔥❤️❤️❤️❤️
3 sem1 Me gustaResponder
Esto es apropiación, conocimientos, academia y gestión… estás rompiendo esquemas mi estupendo candidato @miguemontes1 todo mi cariño y admiración
3 sem2 Me gustaResponder
👏🏻👏🏻👏🏻
3 sem1 Me gustaResponder
Edwar quien tuvo un medio hermano llamado Lawrence Washington , y el medio hermano de Lawrence fue George Washington , cuenta los historiadores que si ctgna hubiera sido conquistada por edwar hoy sur América y Colombia tuviera como lenguaje oficial el inglés ( george Washington fue el primer presidente de EE.UU , el comandante o también llamado medio hombre Blas delezo tuvo mucha ayuda de la naturaleza debido que los británicos no aguantaron el intenso calor de la ciudad y las enfermedades propias del trópico )
3 sem1 Me gustaResponder
Muy pocos cartageneros sabía de la moneda 🪙🔥👏
3 sem3 Me gustaResponder
👏👏
2 semResponder
Pa'lante👏
3 semResponder
C105 ese es mi candidato
3 semResponder
Excelente datos mi representante Dios al mando
3 semResponder
👏👏👏
3 semResponder</t>
  </si>
  <si>
    <r>
      <rPr>
        <color rgb="FF1155CC"/>
        <u/>
      </rPr>
      <t>Instagram</t>
    </r>
  </si>
  <si>
    <t>0:58</t>
  </si>
  <si>
    <t>📚 Lo que pasó con la Ley 30 no es un dato menor.
Es una decisión que marca un antes y un después para la educación superior pública en Colombia.
Durante más de 30 años, las universidades públicas tuvieron que «estirarse» para funcionar con recursos que no crecían al ritmo de sus necesidades reales. Hoy, eso empieza a cambiar.
Esta reforma no es un favor.
Es reconocer que la educación no puede seguir sobreviviendo con lo mínimo, ni depender del sacrificio permanente de estudiantes, profesores y universidades.
Hablar de la Ley 30 es hablar de equidad, de futuro y de una pregunta clave:
👉 ¿Qué país queremos construir si no garantizamos educación pública de calidad?
💭 Entender es el primer paso para exigir.
🎓 La educación no es un gasto, es una inversión.
#Ley30
#EducaciónPública
#UniversidadPública
#PedagogíaPolítica
#PensarElPaís
#MiguelMontes
#Bolívar
#C105</t>
  </si>
  <si>
    <t>Mi familia y yo estamos contigo 🙌👏👏
3 sem1 Me gustaResponder
Excelente mi candidato.
2 sem1 Me gustaResponder
👏
3 sem2 Me gustaResponder
👏👏👏👏
2 sem1 Me gustaResponder
El mejor 👏👏👏👏🙌@miguemontes1
3 sem2 Me gustaResponder
👏👏👏👏👏
3 sem1 Me gustaResponder
👏👏🔥🔥
3 sem3 Me gustaResponder
👏👏
3 sem2 Me gustaResponder
Excelente 👏
3 sem1 Me gustaResponder
Excelente 👏👏
3 sem1 Me gustaResponder
Creímos cuando parecía imposible y resistimos cuando tocaba cansarse. Esta reforma es una victoria de quienes nunca desistimos! Viva la U publica 🙏🏻👏🏼
3 sem2 Me gustaResponder
Defender la educación siempre será un esfuerzo que vale la pena. 🙌
3 sem2 Me gustaResponder
👏
3 sem1 Me gustaResponder
Totalmente de acuerdo. La educación pública no puede ser un acto de resistencia eterna, sino un derecho garantizado con recursos reales. Es hora de que el presupuesto refleje la importancia que decimos que tiene la educación para el futuro del país. 📚🇨🇴
3 sem1 Me gustaResponder
Ya era hora! 👏🔥
3 sem2 Me gustaResponder
Mi familia y yo estamos contigo 🙌👏👏
3 sem1 Me gustaResponder
Excelente mi candidato.
2 sem1 Me gustaResponder
👏
3 sem2 Me gustaResponder
👏👏👏👏
2 sem1 Me gustaResponder
El mejor 👏👏👏👏🙌@miguemontes1
3 sem2 Me gustaResponder
👏👏👏👏👏
3 sem1 Me gustaResponder
👏👏🔥🔥
3 sem3 Me gustaResponder
👏👏
3 sem2 Me gustaResponder
Excelente 👏
3 sem1 Me gustaResponder
Excelente 👏👏
3 sem1 Me gustaResponder
Creímos cuando parecía imposible y resistimos cuando tocaba cansarse. Esta reforma es una victoria de quienes nunca desistimos! Viva la U publica 🙏🏻👏🏼
3 sem2 Me gustaResponder
Defender la educación siempre será un esfuerzo que vale la pena. 🙌
3 sem2 Me gustaResponder
👏
3 sem1 Me gustaResponder
Totalmente de acuerdo. La educación pública no puede ser un acto de resistencia eterna, sino un derecho garantizado con recursos reales. Es hora de que el presupuesto refleje la importancia que decimos que tiene la educación para el futuro del país. 📚🇨🇴
3 sem1 Me gustaResponder
Ya era hora! 👏🔥
3 sem2 Me gustaResponder
👏👏
3 sem2 Me gustaResponder
La educación pública se respeta 🙌
3 sem1 Me gustaResponder
👏🏻👏🏻👏🏻👏🏻👌🏻
3 sem2 Me gustaResponder
Este nuevo sistema de financiamiento refuerza la cobertura, la calidad y la competencia educativa.
3 sem3 Me gustaResponder
La educación es el cambio
3 sem2 Me gustaResponder
LA EDUCACIÓN SIEMPRE POR DELANTE POR FAVOR!!!🙌🙌🙌 ES EL ARMA QUE NUNCA NADIE PODRÁ ARREBATARNOS, EL CONOCIMIENTO ES PODER
3 sem3 Me gustaResponder
El candidato Miguel Montes Curi,con el aval del Partido Conservador y portando el número 105, representa una opción de profunda raigambre cívi ca y compromiso con los principios de orden y desarrollo social que han marcado la historia de la colectividad. Su postulación a la Cámara de Representantes se cimenta en la defensa de los valores familiares, la promoción de la libre empresa como motor de prosperidad y la firme convicción de que el progreso se logra a través de la educación de calidad y la seguridad jurídica. Montes Curi, con su visión renovadora pero respetuosa de la tradición, se proyecta como la voz que trabajará incansablemente desde el Congreso para fiscalizar la gestión pública, impulsar iniciativas legislativas que fortalezcan la economía regional y garantizar que las políticas del Estado respondan efectivamente a las necesidades del ciudadano de a pie.
@miguemontes1
3 sem2 Me gustaResponder
La defensa de la educación es y será por siempre nuestra bandera. 🫡
3 sem2 Me gustaResponder
Tal cual 👍🏻
3 sem2 Me gustaResponder
Felicitaciones por ese sentimiento por las clases menos favorecidas ,apoyo total
3 sem1 Me gustaResponder
Si, pero no vas .
1 semResponder
No te vistas que no vas
1 sem1 Me gustaResponder
La politiquería robándose las luchas populares.
1 sem1 Me gustaResponder
@ballesteros_alejandroficial Tremendo
1 semResponder
@ballesteros_alejandroficial Tuve la oportunidad de educarme y considero que todos deberíamos hacerlo. Divulgar la sanción de una ley no es expoliar una lucha popular. Lo que tampoco me inhibe de admirar a los que sí luchan por su derecho a la educación.</t>
  </si>
  <si>
    <r>
      <rPr>
        <color rgb="FF1155CC"/>
        <u/>
      </rPr>
      <t>Instagram</t>
    </r>
  </si>
  <si>
    <t>1:35</t>
  </si>
  <si>
    <t>No es un anuncio.
Es una decisión.
Creer en la educación, en el trabajo digno y en un Bolívar que puede más.
Servir con carácter, principios y responsabilidad pública.
Este camino apenas comienza.
Y solo tiene sentido si lo hacemos juntos.
💙 Miguel Montes Curi
🗳️ Cámara de Representantes – Bolívar
C105 | Partido Conservador
#BolívarPuedeMás #MiguelMontesCuri #C105 #ConPrincipios #PorBolívar</t>
  </si>
  <si>
    <t>Vamos con toda 💙
4 sem2 Me gustaResponder
Adelante Miguel, Dios te acompañe y puedas ayudar a esta bella ciudad.
4 sem1 Me gustaResponder
Lo vamos a logran en el nombre poderoso de nuestro padre amado Jesucristo🙌, orgullosa de mi representante 👏👏@miguemontes1 💪💯 C-105💙
4 sem3 Me gustaResponder
Increible, mucha admiración y respeto para ti
4 sem1 Me gustaResponder
Con toda 🔥👏
4 sem3 Me gustaResponder
👏👏👏👏
4 sem1 Me gustaResponder
🙌👏
4 sem2 Me gustaResponder
Vamos Migue 💙
4 sem1 Me gustaResponder
Mucho nivel!!! #MiguelMontes El mejor candidato 👌🏻👌🏻👌🏻
4 sem3 Me gustaResponder
Y tú abuelo estaría sacando pecho del orgullo al verte tan comprometido en la transformación que quieres impulsar con los jóvenes, las mujeres a todos
4 sem1 Me gustaResponder
Lo amé y lo recordaré por siempre y si te dejo ese legado fue fundador de una escuela en los Montes de María persona de los que los conocimos sabemos quién fue El señor Alfonso Montes Fernández siempre estuvo y estará en nuestros corazones ♥️ lo recuerdo siempre ejemplo a seguir que Dios y la virgen de El Carmen lo tenga en su Gloria 🙏❤️❤️😢👏👏👏
4 sem1 Me gustaResponder
Sin duda alguna el cambio es con tigo 🙏🫶 DIOS GUIARA TU CAMINO SIEMPRE ❤️
4 sem4 Me gustaResponder
👏👏👏👏👏👏🙌🙌🙌
3 sem1 Me gustaResponder
Estamos listos! Vamos con toda
4 sem4 Me gustaResponder
👏💙💙💙💙
4 sem1 Me gustaResponder
Estuve esperando este momento desde que éramos niños, eres un gran amigo y un gran ser humano que pocos conocen pero muy pronto Cartagena y Colombia entera lo conocerá, ánimo amigo mío que el triunfo lo obtendrás y grandes cambios vendrán 🙌👏🔥🔥🔥🔥
4 sem3 Me gustaResponder
💙💙
3 sem1 Me gustaResponder
QUIEN NO RECUERDA A EL SEÑOR ALFONSO PERSONA INCONDICIONAL QUE AYUDO A TODOS LOS CAMPESINOS DE LOS MONTES DE MARIA DESDE EL BLEO DONDE VIVÍA Y A LO LARGO DE LOS MONTES DE MARIA SIEMPRE ESTARÁ EN MI CORAZÓN ♥️ Y TU SEGUIRÁS SU LEGADO SE PREOCUPÓ MUCHO POR LA EDUCACIÓN DE LOS NIÑOS DE SU REGIÓN SU FINCA MADRE DE DIOS LO LLEVAREMOS SIEMPRE EN NUESTROS CORAZONES ♥️
4 sem2 Me gustaResponder
@jacquelineperea No pudiste tomar mejor decisión que apoyar a @miguemontes1 👏💙
4 sem5 Me gustaResponder
Vamos Miguel💙
4 sem2 Me gustaResponder
CON TODAAAAA💙💙💙
Estoy orgullosísima de ti mi amor.
He visto como te has esforzado todos estos años en las diferentes universidades donde has estudiado y trabajado con ahínco, y por eso ahora creo firmemente que sabes exactamente lo que necesitamos: un país sin educación no avanza. La ciencia, la tecnología, las oportunidades DEBEN LLEGAR A BOLÍVAR. Tienes mi apoyo incondicional en ésto y en la vida. Los jóvenes no podemos estar mejor representados!!! Sin lugar a dudas se sentirá la diferencia. #C105 #MiguelMontesCuri #SeSentiráLaDiferencia #QueNivelElDeMiguel
4 sem3 Me gustaResponder
🙌 #C105
4 sem1 Me gustaResponder
👏👏👏👏
4 sem3 Me gustaResponder
Que brutal que estes en este camino de la participación dentro de las instalaciones del congreso, gracias por ser un joven crítico que piensa en cómo los jóvenes podemos ser el camino a promover el desarrollo de nuestro país, conozco a @fernandoninom cómo un representante excelente que me enseñó el valor de ser humano, el sentir del territorio lo llevan ambos y es algo que valoro, espero que la vida me permita encontrarme contigo, cuenta con nuestro departamento del Valle del Cauca para hacer historia 😍
2 sem1 Me gustaResponder
Sin palabras
4 sem2 Me gustaResponder
Confio en tus capacidades,lo vamos a lograr, Dios tiene grandes cosa para ti🙏
3 sem2 Me gustaResponder
👏👏👏Vamos con toda migue
4 sem1 Me gustaResponder
Apoyo, confianza y fuerza hermano 💪🏻💪🏻💪🏻💪🏻💪🏻💪🏻💪🏻. Tus objetivos se convierten en los míos. #105
4 sem1 Me gustaResponder
Firme🙌
4 sem3 Me gustaResponder
👏👏💙
4 sem2 Me gustaResponder
Con la bendición de Dios y su equipo de trabajo lo ayudará para que esté presente en ell congreso
4 sem3 Me gustaResponder
Excelente
4 sem1 Me gustaResponder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@miguemontes1
Con la ayuda de De Dios ...!
4 sem3 Me gustaResponder
Con toda mi hermano 👏🏻
4 sem1 Me gustaResponder
@miguemontes1 me gustaria hablarte pero Insta no me permite no se por que jjajaja, me envias tu?🫶🏼
3 sem1 Me gustaResponder
Manifiesto mi apoyo a Miguel Montes y convoco a votar por él a la Cámara de Partido Conservador · 105.
4 d1 Me gustaResponder
👏👏👏👏👏 Qué felicidad y orgullo tener cartageneros, bolivarenses como tú @miguemontes1 🌟 #porqueBolivarpuedemás #porqueBolivarmerecemás #C105
4 sem2 Me gustaResponder
#SeSentiraLaDiferencia
4 sem4 Me gustaResponder
Con todaaa🔥🔥🔥
4 sem5 Me gustaResponder
C 105 💙 🫡🫡
4 sem1 Me gustaResponder
Es que sin lugar a dudas tenemos al mejor. #MiguelMontes #C105
4 sem9 Me gustaResponder
👏👏👏
4 sem1 Me gustaResponder
Con toda Migue!👏🏼🚀💙
4 sem1 Me gustaResponder
🙌🙌🙌🙌🙌🙌
4 sem1 Me gustaResponder
Tengamos fe
4 sem1 Me gustaResponder
👏👏👏
4 sem1 Me gustaResponder
Vamos con toda a acompañar a Miguel montes curi un joven en la cámara de representante dispuesto a defender a Bolívar para que nuestro dpto sea el mejor 👏👏👏👏
4 sem1 Me gustaResponder
👏👏👏
4 sem1 Me gustaResponder
🙌🙌
4 sem1 Me gustaResponder
👏👏
4 sem1 Me gustaResponder
Con toda amigo, apoyo incondicional. No podríamos estar mejor representados. 💙👏👏👏
4 sem1 Me gustaResponder
Felicitaciones tu propuesta antes hecha por ninguno . La educación es la base del triunfo total .
4 sem1 Me gustaResponder
Admirable convertir las convicciones en acción. Bolívar necesita ese liderazgo con principios. Con toda Migue👏
4 sem1 Me gustaResponder
👏👏👏👏 firme Migue
4 sem1 Me gustaResponder
El pelao de @jacquelineperea
4 sem1 Me gustaResponder
Apoyamos tu visión 💙
4 sem1 Me gustaResponder
Eres el mejor candidato @miguemontes1 todo mi apoyo, admiración y cariño!
4 sem1 Me gustaResponder
Que nivel el que tenemos contigo, 👏👏
4 sem1 Me gustaResponder
Contigo Migue!! 🔥🔥🔥👏
4 sem1 Me gustaResponder
Lo apoyo 👍🏻💙
4 sem1 Me gustaResponder
Vamos vamosssssss!👏💪🏻
4 sem1 Me gustaResponder
Este es el pollo
4 sem1 Me gustaResponder
Un joven que, al igual wue su abuelo, dejará huellas en el departamento como representante de todos los bolivarense, vamos Miguel por un bolívar grande y una nueva Cartagena
4 sem1 Me gustaResponder
Muchos éxitos Migue! 👏
4 sem1 Me gustaResponder
#QueNivelEldeMiguel Con toda por Bolivar
4 sem1 Me gustaResponder
EN HORA BUENA 👍 👌 @miguemontes1
4 sem1 Me gustaResponder
Migue sé que con el favor de Dios saldremos victoriosos. Eres un joven comprometido con un corazón noble dispuesto a servir me siento orgullosa de saber que nos representarás. 👏👏👏
4 sem1 Me gustaResponder
Dios te siga bendiciendo y dando más sabiduría para q siga con mucho mas
4 sem1 Me gustaResponder
👏👏👏👏👏
4 sem1 Me gustaResponder
Con toda Miguel 💙👏👏👏
4 sem1 Me gustaResponder
Quebueno es cuchar palabras que edifiquen alpuelbo
4 sem1 Me gustaResponder
Bolivar te necesita Miguee!! Felicidadeees! Vamos con toda!!👏🏽👏🏽💪🏽💙💙💙🇨🇴 @miguemontes1
4 sem1 Me gustaResponder
Con toda 👏👏
4 sem1 Me gustaResponder
Lo heredadtes. Así es. Eres. Hombre con gran calidad. Humana y compromiso. Social. Vamos. Con toda
4 sem1 Me gustaResponder
👏👏👏
4 sem1 Me gustaResponder
Vamos con toda mi representante C105 con Dios por delante
4 sem1 Me gustaResponder
Crack 👏
4 sem1 Me gustaResponder
👏👏👏
4 sem1 Me gustaResponder
Firme y listos para el Cambio real para Bolivar...📝📏
4 sem2 Me gustaResponder
Esperanza, familia y tradición
4 sem2 Me gustaResponder
Vamossss 👏👏
4 sem3 Me gustaResponder
👏
4 sem2 Me gustaResponder
Con toda! 🤩💙
4 sem2 Me gustaResponder
👏
4 sem2 Me gustaResponder
Vamos por más, Migue. Si mi hijo está contigo, yo y todas mías amigas también
4 sem1 Me gustaResponder
So proud ❤️🙌
4 sem2 Me gustaResponder
Tenemos las esperanzas puestas aquí, vamos con toda!! 🙌
4 sem2 Me gustaResponder
💙💙💙💙
4 sem3 Me gustaResponder
Vamos con todas mi candidato MIGUE MONTES tienes mucho para dar tienes humildad y esas ganas de trabajar tienes mucho nivel vamos con todas de la mano de Dios 💪 👏 🙌 Amén Amén 🙌 🙏
4 sem2 Me gustaResponder
#C10 es la mejor elección @jacquelineperea que sabía eres 👏
4 sem4 Me gustaResponder
#QueNivelEldeMiguel 💙
4 sem5 Me gustaResponder
#C105
4 sem1 Me gustaResponder
Migue, tienes todo para dar: juventud, eres íntegro, tienes bagaje político, academia, estructura en el conocimiento, humildad, espíritu de servicio, pero sobretodo las ganas de darla toda. Todo esto hace y motiva a que todos los cercanos que te apoyamos y desde LA CASA PEREA trabajemos arduamente y sin desmayo para lograr materializar este propósito de servicio, este gran proyecto de tenerte como nuestro representante a la cámara por el partido conservador colombiano #C105. Trabajaremos 24/7 dándote todo el apoyo necesario. Ya eres un ganador! @miguemontes1 @jacquelineperea @pepedeltoror @majodeltoro_
4 sem4 Me gustaResponder
🔥🔥👏👏
4 sem1 Me gustaResponder
A romper!!💙💙💙
4 sem2 Me gustaResponder
👏👏👏👏👏
4 sem3 Me gustaResponder
#QueNivelElDeMiguel 💙
4 sem1 Me gustaResponder
Con toda !!👏
4 sem2 Me gustaResponder
Te necesitábamos Migueeee🩵🩵🩵
4 sem1 Me gustaResponder
VAMOSSSS CON TODA!!
4 sem1 Me gustaResponder
Con toda 🙌
4 sem1 Me gustaResponder
👏👏👏
4 sem1 Me gustaResponder
Eso! 👏
4 sem1 Me gustaResponder
C105 💙 vamos con toda !!
4 sem1 Me gustaResponder
El mejor💙💙💙💙
4 sem1 Me gustaResponder
👏👏
4 sem1 Me gustaResponder
Contigo @miguemontes1 😍
4 sem2 Me gustaResponder
No puedo más!!!😍🤍🤍🤍🤍
4 sem1 Me gustaResponder
👏
4 sem1 Me gustaResponder
Con toda hermano 🙌
4 sem2 Me gustaResponder
👏👏👏
4 sem2 Me gustaResponder
👏💙
4 sem2 Me gustaResponder
🔥👏👏
4 sem2 Me gustaResponder
#QueNivelElDeMiguel 💙💙💙
4 sem4 Me gustaResponder
Este reel tiene 15 comentarios de Facebook.</t>
  </si>
  <si>
    <r>
      <rPr>
        <color rgb="FF1155CC"/>
        <u/>
      </rPr>
      <t>Instagram</t>
    </r>
  </si>
  <si>
    <t>1:11</t>
  </si>
  <si>
    <t>En tiempos de reyes y poder absoluto, el barón de Montesquieu imaginó un Estado en el que «el poder detenga al poder». Hoy, cuidamos la separación de poderes porque garantiza la libertad.
Montesquieu se atrevió a soñar, a imaginar una sociedad mejor, a cuestionar el statu quo.
Soñemos la utopía que queremos y dejemos nuestra huella para las siguientes generaciones.</t>
  </si>
  <si>
    <t>Te amo Migue 🙌🏽 Que el mundo vibre en tu sintonía y goce de tu intelecto y pasión por el bienestar común. Wow tener un líder como tú.
3 sem1 Me gustaResponder
Excelente 🙌🏻✨
4 semResponder
Orgullosa de mi representante @miguemontes1 🙌🙏💯💪
4 semResponder
👏👏👏👏👏que más que tú para hacer realidad todos los proyectos que te propongas bendiciones 🙏🏻💕
4 semResponder
Te amo❤️ así es mi amor!🙌🔥
4 semResponder
Los sueños son esperanza de un futuro mejor
4 semResponder
Orgullosa de tiii🤍✨
4 semResponder
👏👏
4 semResponder
👏👏
4 semResponder
👏👏👏👏
4 sem1 Me gustaResponder
👏👏👏👏
4 semResponder
👏👏👏Excelente
4 semResponder
❤️❤️❤️
4 semResponder
👏🔥👏🔥👏… contigo !
4 semResponder
👏👏👏👏👏
4 semResponder
👏
4 semResponder
👏👏👏👏
4 semResponder
Excelente @miguemontes1 👏👏👏
4 semResponder
Exelente Muchacho lo Felicito Dr Montes y por Su puesto A Martica Curi Tambien
4 semResponder
Vamos!!!🔥🔥
4 semResponder
Este proyecto te tiene como su capitán.
Creemos en ti y en las capacidades que tienes para legislar en pro de la Familia y el Estado.
Tú conoces nuestro departamento, tu has visto las precariedades que sufren nuestra gente principalmente en la zona de Montes de Maria y de la zona que comprende sur de Bolivar y depresión Momposina.
Te apoyamos porque será el primer peldaño, eslabón o bloque para construir esta nueva concepción que abarca grandes logros para nuestro departamento. 👏🏾🇲🇲
4 semResponder
Una democracia saludable nace cuando, aun en medio de los retos, seguimos soñando, caminamos juntos y no nos dejamos caer. Porque un pueblo que sueña unido, se levanta unido… y transforma su futuro. De Admirar tu inteligencia @miguemontes1
4 semResponder
Pollo bueno , hace falta un joven altruista que trasmita esos valores que nos caracteriza como ciudadanos.
4 semResponder
👏👏👏👏👏👏👏
2 d2 Me gustaResponder
Este reel tiene 1 comentario de Facebook.</t>
  </si>
  <si>
    <r>
      <rPr>
        <color rgb="FF1155CC"/>
        <u/>
      </rPr>
      <t>Instagram</t>
    </r>
  </si>
  <si>
    <t>0:59</t>
  </si>
  <si>
    <t>Los jóvenes podemos. Los jóvenes estamos listos.
Ver a tantos líderes reunidos solo confirmó que nuestro mensaje tiene fuerza y propósito.
Gracias al @partidoconservadorcolombiano por este espacio: ahora vamos con más convicción a recorrer Colombia y demostrar de qué está hecho Bolívar. 💙🤝
5 sem</t>
  </si>
  <si>
    <t>Con toda! 👏👏👏💙
4 sem1 Me gustaResponder
Dio un discurso tan bueno que hasta el silencio aplaudió.👏👏👏👏
4 sem1 Me gustaResponder
Migue felicitaciones👏👏👏👏👏👏👏👏👏
5 sem2 Me gustaResponder
Tu liderazgo inspira y sé que vas a marcar la diferencia. Adelante, Migue!!👏👏
5 sem2 Me gustaResponder
Por fin te decidiste, me alegra mucho @miguemontes1, cuenta con mi apoyo.
4 semResponder
Migue sé que haras historia, eres un referente de la juventud. 👏👏👏
4 sem1 Me gustaResponder
La voz de los jóvenes debe ser escuchada 👏👏
5 sem2 Me gustaResponder
Excelente Migue 👏👏
5 sem3 Me gustaResponder
@miguemontes1 la mejor opción en el partido conservador, vamos que si se puede
5 sem2 Me gustaResponder
Felicitaciones mi Candidato MIGUE MONTES VAMOS CON TODA DE LA MANO DE DIOS 💪 👏
5 sem3 Me gustaResponder
👏👏👏vamos con toda 🙌🙌
4 sem2 Me gustaResponder
👏👏👏 vamos con todo @miguemontes1
4 semResponder
@miguemontes1 ¡Miguel, estás haciendo un gran trabajo! 💪 Sigue adelante, no te rindas. Eres capaz de lograr todo lo que te propongas.
5 sem2 Me gustaResponder
Con la bendición de Dios 🙌 @miguemontes1
5 sem2 Me gustaResponder
Estoy muy orgullosa de ti mi amor, te amo!!! VAMOS CON TODA A MARCAR DIFERENCIA💙🔥🙌
5 sem8 Me gustaResponder
Excelente intervención la mejor opción del partido conservador
5 sem2 Me gustaResponder
Excelente miguel...vamos con toda 👏👏
4 sem2 Me gustaResponder
Por fin se escucha algo DIFERENTE en estas campaigns @🙏👏👏👍💪
4 sem2 Me gustaResponder
Vamos con toda primo 👏💙
5 sem3 Me gustaResponder
Miguee,hoy tu nombre entra en la historia con la fuerza de quien no solo sueña, sino que decide construir destino. Aquí, en el Congreso, te espero para celebrar la conquista de cada victoria que estás destinado a alcanzar!!
5 sem6 Me gustaResponder
Vamos avante migue, el triunfo te espera.
5 sem2 Me gustaResponder
Que grande @miguemontes1 wow … como pasa el tiempo , el último recuerdo que tengo eran unos niños , que orgullo verte a este nivel y no dudo en que estás para hacer historia , mis mejores deseos para ti en esta etapa de tu vida y gracias por ser y por estar !! Un abrazo grande saludos a tus papás 🫂🌊🙏
5 sem2 Me gustaResponder
👏👏👏👏
5 sem2 Me gustaResponder
👏👏👏👏👏👏👏👏
4 sem3 Me gustaResponder
👏👏👏👏
5 sem1 Me gustaResponder
👏👏
4 semResponder
👏👏👏excelente.
4 semResponder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@miguemontes1
Con la ayuda de De Dios ...!
5 sem2 Me gustaResponder
Excelente @miguemontes1 eres un gran ejemplo para la juventud y la se que tus ideales y liderazgo inspiran a muchos, vamos con todas 🙌🏽🙏🥰
5 sem2 Me gustaResponder
👏👏👏👏
5 sem3 Me gustaResponder
👏👏👏
5 sem2 Me gustaResponder
Muy Bien Migue, Dios Te bendiga Mi hermano
5 sem2 Me gustaResponder
Vamos con toda
5 sem2 Me gustaResponder
¡Grande! 🙌
5 sem2 Me gustaResponder
Que orgullo 👏👏🙌 @miguemontes1 💯💯💪
5 sem2 Me gustaResponder
👏👏👏👏👏
4 sem2 Me gustaResponder
Excelente @miguemontes1 👏👏👏
5 sem2 Me gustaResponder
Juventud preparación decisión posesión y sabe para dónde va y cómo llegar suficiente para el éxito
5 sem2 Me gustaResponder
Un joven que promete futuro! Migue aquí tienes un apoyo.!!!
5 sem2 Me gustaResponder
🙌🙌👏👏
5 sem2 Me gustaResponder
Este reel tiene 10 comentarios de Facebook.</t>
  </si>
  <si>
    <r>
      <rPr>
        <color rgb="FF1155CC"/>
        <u/>
      </rPr>
      <t>Instagram</t>
    </r>
  </si>
  <si>
    <t>1:32</t>
  </si>
  <si>
    <t>Durante el evento de presentación de los aspirantes a la Cámara de Representantes de Bolívar, el candidato Miguel Montes Curi destacó su compromiso con las juventudes del departamento, asegurando que su prioridad será abrir caminos reales para que más jóvenes accedan a la educación superior sin tener que abandonar sus municipios. Calificó como “absurdo que nuestros muchachos deban viajar a otros departamentos para poder estudiar” y se comprometió a impulsar proyectos que fortalezcan la oferta universitaria en Bolívar y reduzcan las brechas de acceso.
La candidatura de Montes Curi llega fortalecida a esta contienda electoral, respaldada por una trayectoria familiar con experiencia legislativa. Tanto su padre, William Montes, como su madre, Marta Curi, han sido congresistas en años anteriores.</t>
  </si>
  <si>
    <t>Ejemplar mi candidato, que orgullo🙌👏👏 @miguemontes1 🙏💪💯
5 sem1 Me gustaResponder
Algo DIFERENTE es lo que Elmore quiere y hoy esta demostrado con tu introduction y vendran mejores GOD BLESS YOU 👏👏👏🙏🙏🙏❤️❤️💪💪👍
5 sem1 Me gustaResponder
Una juventud que se levanta 👏👏🔥
5 sem1 Me gustaResponder
👏👏
5 sem1 Me gustaResponder
Excelente profesional la juventud es el futuro de nuestro país y departamento @miguemontes1
5 sem1 Me gustaResponder
👏👏👏👏
5 sem1 Me gustaResponder
Oportunidad para los jóvenes vamos con toda Miguel
5 sem1 Me gustaResponder
El futuro de una generación
5 sem1 Me gustaResponder
Vamos con toda 👏
5 sem7 Me gustaResponder
Gran candidato y próximo representante C-105
5 sem2 Me gustaResponder
Tienes toda la razón y el alcalde Dumek Turbay Paz no ha hecho 👍 nada para ayudar a los estudiantes y todavía tiene el atrevimiento de decir que eso le corresponde al presidente Gustavo Petroooooo , para eso colocan en cada ciudad o municipios Alcaldes, gobernadores y sus funcionarios, todo no es obligación del presidente, verdaderamente que esta gente mandan pelotas,Dumek Turbay Paz está metiendo a las obras del deporte, parques, el famoso malecón, pavimentar calles y reparando obras que ya han terminado, a los eventos qué hubo en las fiestas novembrinas y ahora a la navidad 🤶 🎄🧑🏻‍🎄🌲, precisamente hoy Aqui en Cartagena inauguran o prenden las luces en centro Histórico de Navidad 🎅 🌲🧑🏻‍🎄🎄.
5 semResponder
Alonso del Rio👏 C103
5 sem2 Me gustaResponder
😂😂😂😂😂😂😂😂 hablas muy bnito,supongo que tú asesor es el del pacto de ralito
3 semResponder
La política se hereda,la oportunidad de ser candidato a cualquier puesto público está limitado a apellido porque no toman ejemplo del pacto
4 semResponder
👏👏
4 semResponder
👏👏👏👏👏👏👏
5 semResponder
Ojala aproveche ese impulso de sus padres para hacer algo realmente impactante para los jovenes de Bolivar que tanto necesitan oportunidades y alguien que los represente en la camara.
5 semResponder
TE VAS A JODER😂😂
5 semResponder
Vamos con todas @miguemontes1 nuestro país necesita jovenes con ese enfoque👏🙌❤️
5 semResponder
Vamos con toda @miguemontes1 🙌🙌🙌
5 semResponder
👏👏👏 victorioso👏👏
5 semResponder
Bla bla bla bla
5 semResponder
👏👏👏👏👏
5 semResponder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@miguemontes1
Con la ayuda de De Dios ...!
5 semResponder
Saludos Migue soy Juanito de villas de la popa que bueno verte en este camino 🔥
5 semResponder
muchos éxitos migue ❤️🙌
5 semResponder
👏👏👏👏
5 semResponder
Mil bendiciones mi hermano querido todo el éxito mundi
5 semResponder
👏👏👏👏
5 semResponder
👏👏👏
5 semResponder
Ese pelao va a dar sorpresa
5 semResponder
👏👏👏👏
5 semResponder
Miguel para adelante, excelente profesional, y calidad
5 semResponder
El mejor.
5 semResponder
👏👏
5 semResponder
Lo apoyo totalmente es un gran ser humano y en Dios está q será nuestro representante
5 semResponder
👏👏👏👏
5 semResponder
Si como nooooooooooooo
5 semResponder
😂😂😂😂😂😂😂
5 semResponder
🔥🔥🔥❤️❤️❤️
5 semResponder
Dios está con tigo hijo piensas muy bien que mi Dios te siga dando mucha sabiduría y inteligencia para que tu proyecto sea una realidad
5 semResponder
👏👏👏
5 semResponder
👏👏👏👏👏 ! @miguemontes1
5 semResponder
👏👏👏👏👏
5 semResponder
👏🏽👏🏽
5 semResponder
@miguemontes1 vamos con toda! C-105
5 semResponder
un ser humano excepcional, un profesional íntegro y un amigo que siempre está dispuesto a servir con humildad y grandeza. El. Próximo Representante C-105
5 semResponder
👏👏
5 semResponder
Ocultado por Instagram
Claro con los viejetes q tienes detrás 😂😂😂😂 payaso
5 sem1 Me gustaResponder
Que horda de bodegas y puyaojos comentando por aqui jajajaja, claro es el vastago de william montes</t>
  </si>
  <si>
    <r>
      <rPr>
        <color rgb="FF1155CC"/>
        <u/>
      </rPr>
      <t>Instagram</t>
    </r>
  </si>
  <si>
    <t>1:45</t>
  </si>
  <si>
    <t>A veces subestimamos todos los procesos que conforman la producción de un libro y es importante saber que cada título es el producto de diversos colaboradores que deben trabajan en armonía.
Desde las instituciones educativas es fundamental que se fortalezca la producción editorial y los libros lleguen al público general. Debe primar la calidad sobre la cantidad.
¡No dejemos nunca de leer, ni perdamos la curiosidad de aprender!</t>
  </si>
  <si>
    <t>👏👏👏🔥🔥🙌🙌 Dios siempre te bendiga
5 sem3 Me gustaResponder
👏👏👏👏
5 sem1 Me gustaResponder
🔥👏🏼👏🏼
5 sem2 Me gustaResponder
Te felicito Dios te bendiga
5 sem1 Me gustaResponder
👏👏👏🙌
5 sem1 Me gustaResponder
👏👏
5 sem1 Me gustaResponder
Ponerse en los pies del autor es entender y empatizar con su causa y sentimiento. Es arduo. La relación entre editor y autor es de amor-odio pero ¡siempre gana el amor por la buena literatura! Amén 🙏😂
5 sem2 Me gustaResponder
🔥🔥🔥🔥
5 sem1 Me gustaResponder
📚❤️
5 sem1 Me gustaResponder
Excelente 👏👏👏
5 sem1 Me gustaResponder
Miguel Chilet
5 sem1 Me gustaResponder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@miguemontes1
Con la ayuda de De Dios ...!
5 semResponder
👏Bárbaro
5 sem1 Me gustaResponder
Este reel tiene 6 comentarios de Facebook.</t>
  </si>
  <si>
    <r>
      <rPr>
        <color rgb="FF1155CC"/>
        <u/>
      </rPr>
      <t>Instagram</t>
    </r>
  </si>
  <si>
    <t>1:30</t>
  </si>
  <si>
    <t>No suelo celebrar mi cumpleaños pero mi familia y amigos siempre terminan sorprendiéndome y comprendo que no es un día solo para mí.
Hoy recuerdo a todos los que han pasado por mi vida y la han convertido en lo que es. Doy gracias por cada nuevo día.
Hoy empiezo a escribir un nuevo capítulo de mi libro.</t>
  </si>
  <si>
    <t>Feliz Cumpleaños Migue ❤️
5 sem1 Me gustaResponder
Happiesttt Birthday amigo, infinitas bendiciones y éxitos!! Love you 🥳🎂🎁🎈
5 sem1 Me gustaResponder
🫶🏼 Feliz cumple migue!!!♥️
5 sem1 Me gustaResponder
Bendiciones Salud Amor Protección Felicidad Por Montón Migue 🙏🙏🙏 🎈🎂🎉😍
5 sem1 Me gustaResponder
Feliz cumple compi ❤️🥳
5 sem1 Me gustaResponder
Feliz cumpleaños 🥳🎂 lluvias de Bendiciones mi apreciado Miguel; Dios te guarde y proteja.🙌y te conceda todos los deseo de tu ❤️Que tengas un Excelente día lleno de cariño .
5 sem1 Me gustaResponder
Feliz cumpleaños mi amor. Cumples tú pero recibimos el regalo todos los que te amamos❤️
Que sean muchos más años para que sean muchos más libros y aprendizajes en tu vida🥹 te adoro
5 sem1 Me gustaResponder
Feliz cumpleaños Migue 🥳🥳🥳🥳🥳
5 sem1 Me gustaResponder
Feliz cumpleaños, Migue.
Deseo de todo corazón que Dios te bendiga y te regale muchos años de vida. Que siempre sigas siendo ese ser humano noble, humilde y lleno de sabiduría. Que cada uno de tus sueños se haga realidad y que nunca te falten motivos para sonreír.
¡Un abrazo grande y bendiciones! 🎉✨
5 sem2 Me gustaResponder
Feliz cumpleaños @miguemontes1 bendiciones y éxitos 😍
5 sem1 Me gustaResponder
Larga vida mi rey bello mi Dios te colme todos los deseos de tu corazón
5 sem1 Me gustaResponder
Un feliz cumpleaños para un gran lector. Que la vida te llene de muchas historias y libros más 🙌
5 sem1 Me gustaResponder
Feliz cumple Migue!! 🎉🎉
5 sem1 Me gustaResponder
Feliz cumpleaños @miguemontes1 muchas bendiciones! 🎉🥳
5 sem1 Me gustaResponder
Feliz cumpleaños @miguemontes1 Dios continúe bendiciendo tu vida de manera sobrenatural siempre, este día en especial pasála super fefiz rodeado de todas las personaa que te aman de corazón 🙌🥳🥳🥳🙏
5 sem1 Me gustaResponder
Feliz cumpleaños Migue bendiciones
5 sem1 Me gustaResponder
Feliz Cumpleaños, Bendiciones 🎉
5 sem1 Me gustaResponder
Migueee le pido a Dios que te bendiga con toda la felicidad del mundo. Que este nuevo año te traiga aventuras increíbles, éxitos, muchos motivos para sonreír, que te guíe a cumplir todos tus anhelos y sueños y sobre todo te conceda largura de muchos días para seguir compartiendo con los seres que más amas
FELIZ CUMPLEAÑOS🎈🎁🎂🎉🥳🎊
5 sem1 Me gustaResponder
Feliz cumpleaños campeón …🙌🙌
5 sem1 Me gustaResponder
Feliz cumpleaños y muchas bendiciones! 🎉
5 sem1 Me gustaResponder
Feliz cumpleaños @miguemontes1 , Dios te bendiga en salud y prosperidad . Estamos firme . Un abrazo .
5 sem1 Me gustaResponder
Feliz cumpleaños 🎁🎊🎉mi representante más top pásalo genial en tu día la virgen derrame mucha salud para usted
5 sem2 Me gustaResponder
👏👏👏👏La vida da giros y tú eres uno de ellos.
Dios te bendiga @miguelmontes
5 sem1 Me gustaResponder
Feliz cumpleaños 🎂 bendiciones
5 sem1 Me gustaResponder
Te adorooooooooooooo😍😍😍
5 sem1 Me gustaResponder
Primo como lo acabas de mencionar, cuando llegan fechas especiales pensamos por qué esperar para que sea en este preciso momento expresar lo que sentimos. Yo aprovecho esta fecha para decirte lo mucho qué te quiero, que te has convertido en una persona especial para mí, aunque no tuvimos la oportunidad de estar juntos desde que eras niño, no sé necesito mucho tiempo para quererte por qué eres un ser tan increíble que cualquiera desearía hacer parte de tu vida. Primo que Dios continué bendiciendo tu vida y te mantenga con ese entusiasmo de seguir trabajando por el bienestar de la comunidad. Un fuerte abrazo mi flaco.
5 sem1 Me gustaResponder
Feliz cumpleaños querido sobrino 🎉🥳👏
5 sem1 Me gustaResponder
Feliz cumpleaños hermano 😎
5 sem1 Me gustaResponder
Migue feliz cumpleaños cumpleaños Dios te bendiga y te regale todos los deseos de tu corazón. Dios continúe dándote sabiduría como se la dió al rey Salomón y abriendo puertas de bendiciones en tu vida.
5 sem1 Me gustaResponder
Feliz cumpleaños @miguemontes1 que Dios te regale larga vida , que siga siendo lumbrera en tu vida , que siga poniendo sueños , metas y propósitos en tu corazón y que cada paso que des sea por obra y gracia de nuestro amado padre celestial 🙌 Bendiciones en tu día especial 🎉🎉🎉🎉🎉
5 sem1 Me gustaResponder
Feliz cumpleaños Migue.
Que Dios te bendiga siempre te acompañe y te llene de mucha sabiduría y capacidad para seguir adelante, que todos tus sueños se hagan realidad y que sigas teniendo siempre esa calidez que te caracteriza que tu sonrisa nos contagie de la mejor energía humana
Un abrazo fuerte 🫂
5 sem1 Me gustaResponder
Feliz cumpleaños que el todo poderoso te continúe bendiciendo grandemente y cumpla todos los anhelos de tu corazón @miguemontes1 🎊🎉🎂🥳
5 sem1 Me gustaResponder
@miguemontes1 Felicidades primo disfruta tu día 🥳🥳🥳 un fuerte abrazo
5 sem1 Me gustaResponder
Felicidades amigo Miguel 🎉🥳
5 sem1 Me gustaResponder
Feliz feliz cumpleaños @miguemontes1 ✨️ 🎂 que el dador de la vida siga derramando muchas bendiciones para ti 🙏
5 sem1 Me gustaResponder
Feliz onomastico,salud,larga vida,exitos y bendiciones🙏🎈🎈🎈🎂🎊🎊🎊🎁👏👏👏👏👏👏.
5 sem1 Me gustaResponder
Feliz cumpleaños Migue 🎊
5 sem1 Me gustaResponder
Feliz cumpleaños Miguel Montes, Dios padre celestial te guarde y proteja siempre 👏👏👏👏
5 sem1 Me gustaResponder
Feliz cumpleaños mil bendiciones pelao que tengas un excelente día saludos 🍰🍰🎂🎂🎁🎁
5 sem1 Me gustaResponder
Felicidades en su cumpleaños Dr, Dios lo colme de muchas bendiciones... Vamos duro por esa Cámara
5 sem1 Me gustaResponder
Jamás nos bañamos en n el mismo río 👏
5 semResponder
Te amo tanto
5 semResponder
Este reel tiene 21 comentarios de Facebook.</t>
  </si>
  <si>
    <r>
      <rPr>
        <color rgb="FF1155CC"/>
        <u/>
      </rPr>
      <t>Instagram</t>
    </r>
  </si>
  <si>
    <t>1:55</t>
  </si>
  <si>
    <t>Gracias al Área de Humanidades de la Universidad del Sinú por la grata charla sobre las editoriales universitarias en Colombia y los retos que deben encarar para fortalecer ese importante sector.
Debemos lograr que los libros producidos en las universidades lleguen al público general.
¡Pronto les comparto más!
@humanidades_unisinuctg</t>
  </si>
  <si>
    <t>Excelente!!! Me encanta porque eres genuino amigo 🙌🏻❤️
6 sem2 Me gustaResponder
Excelente!! Temas como este demuestran tu compromiso con una academia más fuerte y con un acceso real al conocimiento para todos…👏
6 sem4 Me gustaResponder
Excelente Excelente ese es mi candidato MIGUE MONTES ❤️🙌👏
6 sem3 Me gustaResponder
Wow verdadero cambio . Felicitaciones
6 sem3 Me gustaResponder
Eres genial👏👏👏👏🙌@miguemontes1
6 sem2 Me gustaResponder
En tu yeré🙌❤️❤️❤️
Definitivamente la edición universitaria de libros en Colombia podría ser la ventana de acceso para muy buena literatura. Hay que ponerse pilas y mejorarlo, ayudar a los estudiantes y darle más acceso al público, una buena promoción y ojalá estas charlas se sigan dando para que esto siga creciendo 😍❤️
6 sem3 Me gustaResponder
Excelente !! 👏👏👏
6 sem2 Me gustaResponder
👏👏👏👏 Excelente
5 sem1 Me gustaResponder
Bendiciones 🙏🏻 un fuerte 🫂🤗 como has crecido 😍
5 semResponder
🙌🙌🙌🙌🙌 genial
5 sem1 Me gustaResponder
@miguemontes1 excelente 🙌❤️
6 sem1 Me gustaResponder
Bendiciones hijo
6 sem2 Me gustaResponder
👏👏👏👏excelente
6 sem1 Me gustaResponder
Excelente eres el mejor
5 sem1 Me gustaResponder
👏👏👏👏👏👏👏👏
6 sem2 Me gustaResponder
Naciste para esto 🙌🏽
5 sem1 Me gustaResponder
Frescura e inteligencia... 👏
6 sem2 Me gustaResponder
Me encanta como hablas , me quedo embobada ❤️🙌
5 semResponder
Excelente!! 🫶🫶👏👏
5 semResponder
El conocimiento No se improvisa @miguemontes1
6 sem2 Me gustaResponder
👏👏👏👏👏👏
5 sem2 Me gustaResponder
👏👏👏👏
5 semResponder
🙌
5 sem1 Me gustaResponder
Excelente!
6 sem2 Me gustaResponder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@miguemontes1
Con la ayuda de De Dios ...!
5 semResponder
Este reel tiene 3 comentarios de Facebook.</t>
  </si>
  <si>
    <r>
      <rPr>
        <color rgb="FF1155CC"/>
        <u/>
      </rPr>
      <t>Instagram</t>
    </r>
  </si>
  <si>
    <t>0:54</t>
  </si>
  <si>
    <t>Los libros reflejan todo lo bueno y lo malo de nuestra sociedad, prohibirlos sería ignorar aquello que también nos hace humanos.
Desde un espacio seguro, la lectura nos muestra los errores del pasado para que no se vuelvan a repetir. El sistema educativo debe guiarnos por ese camino hacia la evaluación objetiva y el pensamiento crítico.</t>
  </si>
  <si>
    <t>DEFENDAMOS NUESTRO DERECHO A SABER!🔥❤️
6 sem3 Me gustaResponder
🙌❤️🔥
6 sem1 Me gustaResponder
👏👏👏👏👏
6 sem1 Me gustaResponder
Excelente👏👏👏👏 🙌 @miguemontes1
6 sem1 Me gustaResponder
👏👏
6 sem1 Me gustaResponder
Este pais USA va en decadencia no hay cosa mas linda que ir à la tienda como mi favorite Books and Books perderse entre los corredpre Tratando de encontrar entre mis escritores favorites el Ultimo libro escritos por ellos 👍
6 sem2 Me gustaResponder
👏
6 sem1 Me gustaResponder
🔥🔥🔥🔥👏
6 sem1 Me gustaResponder
Muy bueno.
5 semResponder
🔥🔥🔥🙌
6 sem1 Me gustaResponder
La lectura es una herramienta poderosa para el crecimiento personal y la expansión de nuestros horizontes. @miguemontes1
6 sem1 Me gustaResponder
👏👏👏👏
6 sem1 Me gustaResponder
👏👏👏👏
6 sem1 Me gustaResponder
Me parece que Cien años de soledad, no es literatura para niños. Está bien que cada libro tenga etiquetado hacia qué edades está dirigido o es adecuado leerlos.
6 sem1 Me gustaResponder
1984 orwell, un mundo feliz - aldus. ( todos sabemos que el hermano mayor siempre termina poniéndole el pie a los Winston ) y el poder está en la prole , que como decía Winston da tristeza saber que en ese grupo es donde se encuentra el 99% del poder pero el 1% los controla .
6 sem3 Me gustaResponder
👏👏👏👏
5 sem1 Me gustaResponder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@miguemontes1
Con la ayuda de De Dios ...!
5 semResponder
En realidad ya no necesitan prohibirlos, la gente ya no le gusta leer ( prohibirlos es un arma de doble filo, lo único que provocará es que la gente busque el libro para saber "por qué está prohibido”)
6 sem4 Me gustaResponder
Totalmente de acuerdo contigo. 👏👏👏👏👏
1 sem1 Me gustaResponder
👏🏻👏🏻👏🏻👏🏻
6 sem1 Me gustaResponder
🔥🔥👏👏
6 sem1 Me gustaResponder
Caso típico, el de Martín Lutero. Altamente censurado. Buen punto @miguemontes1
1 sem1 Me gustaResponder
Y si la idea destruye?
1 sem1 Me gustaResponder
👃 🦜
6 sem1 Me gustaResponder
Este reel tiene 7 comentarios de Facebook.</t>
  </si>
  <si>
    <r>
      <rPr>
        <color rgb="FF1155CC"/>
        <u/>
      </rPr>
      <t>Instagram</t>
    </r>
  </si>
  <si>
    <t>1:50</t>
  </si>
  <si>
    <t>Hoy es el Día Internacional de la Eliminación de la Violencia contra la Mujer y es importante que reflexionemos sobre el sufrimiento silencioso de tantas mujeres.
Desmontemos ese pensamiento patriarcal que normaliza la desigualdad de género. Trabajemos por esa sociedad equitativa con la que todos soñamos.</t>
  </si>
  <si>
    <t>Gran manera de honrar a todas las mujeres de nuestro territorio!! 👏👏👏
6 sem2 Me gustaResponder
En Bolivar también tenemos nuestras propias Mirabal 👏👏👏
6 sem4 Me gustaResponder
Que buen video !
6 sem1 Me gustaResponder
👏👏👏👏 @miguemontes1 eres inspiración, gracias 🙏💪💯
6 sem3 Me gustaResponder
SOMOS FUERTES💜💜 gracias por honrar a las luchadoras Mirabal y el 25N🥹💜 #niunamas
6 sem2 Me gustaResponder
Recordar a las Hermanas Mirabal es recordar que la violencia contra la mujer no es historia pasada, es una realidad que aún duele. Que su valentía nos impulse a alzar la voz, a educar, a acompañar y a no normalizar ninguna forma de violencia. Por una sociedad donde ser mujer no signifique un riesgo, sino una posibilidad de vida plena y libre. ✊💜
6 sem3 Me gustaResponder
Mujer valientes y esforzada 👏❤️@miguemontes1
6 semResponder
Ni una más 👏🏻👏🏻👏🏻
6 sem3 Me gustaResponder
Que nunca dejemos de alzar la voz por quienes ya no pueden y de acompañar a quienes aún luchan en silencio. En Bolívar le apostamos a una sociedad libre de violencia👏👏
6 sem2 Me gustaResponder
#Mujeres valiosas, poderosas y merecedoras de lo mejor, gracias por tenernos en cuenta 🫶🏻
6 sem2 Me gustaResponder
Las mujeres de bolivar son ejemplo de Lucha y superación ❤️❤️
6 sem2 Me gustaResponder
Excelente @miguemontes1
6 sem2 Me gustaResponder
👏👏👏👏
6 sem2 Me gustaResponder
"Un territorio es verdaderamente Libre cuando sus mujeres también lo son". En mi corazón de mujer está frase cala tan fuertemente que hace que la memoria sea un escenario histórico y siempre presente, de los liderazgos que nuestras congéneres han tenido en nuestro Bolívar Grande, desde la época libertaria, como Catalina De La Torre, lideresa resistente del pueblo zenu, Francisca Llovet, Simona Amaya, más tarde en las posmodernidad; encontramos a, Cristina Mendoza, nuestro patrimonio inmaterial representado en las Palenqueras y su tradición oral y ancestral; la legendaria Petrona Martínez, Ceferina Banquez, una cantora de la vida, la resistencia, la persistencia y la cotidianidad de la vida, sus letras impregnadas del cuidado de la vida y de la casa común; tejedoras de paz como la maestra Angelina González, de la alta Montaña, maestra y lideresa campesina, artífice de la reconciliación comunitaria de la ruta por la paz de Montes de María; Juana Alicia y sus tejedoras de la memoria narrada en sus telares
transformando el dolor en arte, reconciliación y paz; las fabricantes de galletas y dulces, que marcan historias de Vida, como; las Chepacorinas, las María Luisa y toda una gastronomía con simbología de mujer; la memoria narrada de la colectivo de comunicaciones de Montes de María, con alas de mochuelo y sueños de mujeres con los pies sobre la tierra; las que educaron a comunidades enteras en riesgos de minas antipersona de la mano de lider comunitarias, zambranera Rosina Martinez; las bailarinas de pies de agujas de oro, Mercedes Barraza; las que bailan al son del ballet de Sonia Osorio; y las que nos endulzan la vida con sus emprendimientos en dulces son empresarias de la vida en todos sus saberes. @miguemontes1 me ha dejado el corazón chiquito, al hacer esa semblanza de las hermanas Mirabla, enlazando las luchas libertarias de las emblemáticas mariposas, con nuestras valientes lideresa guerreras de la vida, que con su tenacidad y palante han hechado palante, transformando el dolor y las secuelas de una guerra cruel en un gran manto de sueños tejidos de colores, olores y sabores, tan diversos como diverso es nuestro departamento de Bolívar.❤️👏
6 sem2 Me gustaResponder
“Es reconocer que Bolívar tiene mujeres valientes, pero que no deberían necesitar valentía para poder sobrevivir” @miguemontes1 que gran mensaje 👏
6 sem4 Me gustaResponder
Mujeres fuertes y valientes 🙏💫
6 sem3 Me gustaResponder
👏👏👏👏👏
6 sem2 Me gustaResponder
No mas violencia encontrá de la mujer @miguemontes1 ❤️
6 sem2 Me gustaResponder
Excelente @miguemontes1 🙌❤️
6 semResponder
Muchos jóvenes no tienen está formación Dios te siga dando sabiduría
6 sem2 Me gustaResponder
Así es Migue. Desafortunadamente esa es una historia que no podemos ocultar y con este video honras a la mujer bolivarense
6 sem3 Me gustaResponder
Este reel tiene 3 comentarios de Facebook.</t>
  </si>
  <si>
    <r>
      <rPr>
        <color rgb="FF1155CC"/>
        <u/>
      </rPr>
      <t>Instagram</t>
    </r>
  </si>
  <si>
    <t>0:57</t>
  </si>
  <si>
    <t>El líder político Miguel Montes manifestó a través de sus redes sociales, mediante un video, que la nueva generación de jóvenes decidió dejar de esperar y empezar a construir un futuro distinto. Según explicó, este impulso juvenil refleja una convicción clara: transformar su entorno desde la acción y no desde la resignación.
Montes señaló que este es el momento oportuno para abrir la conversación sobre tecnología y posicionarla como eje central del desarrollo regional. Resaltó que el acceso real a herramientas digitales debe ser una prioridad, pues permite fortalecer capacidades, impulsar la innovación y reducir brechas históricas.
Asimismo, afirmó que apostar por un territorio más actualizado es esencial para garantizar oportunidades equitativas y preparar a las comunidades para los retos presentes y futuros. En su mensaje, insistió en que la modernización no es un lujo, sino una necesidad que debe ser asumida colectivamente para avanzar hacia un mejor futuro para todos.
6 sem</t>
  </si>
  <si>
    <t>👏👏
4 sem1 Me gustaResponder
😍😍😍😍😍
6 sem1 Me gustaResponder
❤️
6 sem1 Me gustaResponder
👏🏼👏🏼
6 sem1 Me gustaResponder
👏👏👏👏👏
6 sem1 Me gustaResponder
🙌🙌🙌🙌🙌🔥
6 sem1 Me gustaResponder
👏👏
6 sem1 Me gustaResponder
🙌❤️
6 semResponder
Mi rey ❤️
6 sem1 Me gustaResponder
Migue la juventud y el futuro de nuestro departamento está en tus manos ❤️🙌🔥
6 semResponder
👏👏👏👏🔥🔥
6 semResponder
👏👏👏
6 semResponder
👏👏👏
6 semResponder
Con toda Repre👏 @miguemontes1
6 semResponder
Voy con toda C105
3 sem1 Me gustaResponder
@miguemontes1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Con la ayuda de De Dios ...!
5 semResponder
La juventud al poder
6 semResponder
Firmes @miguemontes1
6 semResponder
😂😂😂😂😂😂
6 semResponder
Tan lindo que se ve pero el que tiene detrás financiándolo ya le vendió el alma al diablo..
6 sem2 Me gustaResponder
El pollo de Jake Perea 🙌🙌
4 semResponder</t>
  </si>
  <si>
    <r>
      <rPr>
        <color rgb="FF1155CC"/>
        <u/>
      </rPr>
      <t>Instagram</t>
    </r>
  </si>
  <si>
    <t>¡Los pelaos ya no comen cuento! Cultivemos pensamiento crítico para comprender y cuestionar el mundo que nos rodea.
No te abstengas de participar en la sociedad, no dejes de creer en las instituciones. Define tu criterio propio y aprende a escuchar. El fundamento de la democracia es aceptar la posibilidad de estar en desacuerdo.</t>
  </si>
  <si>
    <t>Eres increíble. Las vidas que pueden cambiar gracias a las herramientas que nos han hecho crecer como humanidad mejorarían mucho la calidad de vida y nos darían acceso a la información de una mejor manera. Hay que saber enseñarlas y llevarlas a toda nuestra juventud!! Ver tantas personas reunidas, diferentes puntos de vista, más opiniones… El momento es ahora ❤️🙌
6 sem1 Me gustaResponder
Esooo!!! 👏🏻
El pensamiento crítico es la forma más poderosa de la participación juvenil 🫶🏻
6 sem5 Me gustaResponder
El mundo va cambiando y con el todo lo que hoy conocemos. O nos movemos con el mismo o nos quedamos en el pasado 🔥👏 con toda @miguemontes1 🙌🙌
6 sem1 Me gustaResponder
Ese es mi candidato excelente Migue esa curul ya es de nosotros lo declaró en el poderoso nombre d Jesús Amén Amén 🙌 🙏
6 sem3 Me gustaResponder
Te amo❤️
6 sem1 Me gustaResponder
👏👏👏👏👏👏👏
6 sem1 Me gustaResponder
Vamos por esa curul!
6 sem2 Me gustaResponder
Vamos por bien rumbo miguel
6 sem1 Me gustaResponder
👏👏👏👏👏
6 sem1 Me gustaResponder
👏👏👏❤️
6 sem1 Me gustaResponder
👏👏👏👏
6 sem1 Me gustaResponder
El pensamiento crítico es la herramienta que nos permite cuestionar el mundo que nos rodea y abrir caminos hacia un futuro más justo. Hoy, con las redes sociales y la inteligencia artificial, tenemos oportunidades enormes para aprender, conectarnos y transformar nuestras regiones. Nuestra educación debe adaptarse a esta nueva era, porque solo así lograremos que el conocimiento sea un derecho real y no un privilegio.👏🏽
6 sem8 Me gustaResponder
Hoy en día uno ve que el mundo va muy rápido con tanto celular, inteligencia artificial y redes sociales. Por eso es bueno aprender a pensar por uno mismo y a preguntar el porqué de las cosas. Si adaptamos la educación de nuestros pueblos a esta nueva era, nuestros hijos y nuestras regiones pueden salir adelante con más oportunidades.
6 sem4 Me gustaResponder
En un contexto donde la tecnología avanza a ritmo acelerado, el pensamiento crítico se convierte en una competencia esencial. Las redes sociales y la inteligencia artificial ofrecen herramientas sin precedentes para ampliar el acceso a la información. Expertos señalan que los modelos educativos y las regiones deben adaptarse a esta nueva era digital para garantizar el desarrollo equitativo y sostenible.
6 sem6 Me gustaResponder
👏👏
5 semResponder
La IA y las redes sociales son una ventaja gigante para quienes tenemos ideas y queremos crecer. Pero sin pensamiento crítico es imposible filtrar la información que vemos todos los días. La educación en Colombia debe ponerse al día, porque el futuro ya llegó y las regiones que se adapten serán las que lideren el cambio.
6 sem4 Me gustaResponder
👏👏👏👏👏
6 sem1 Me gustaResponder
DE ADMIRAR ❤️
6 sem2 Me gustaResponder
Ticinco
6 sem1 Me gustaResponder
Firme migue.
5 semResponder
Excelente reflexión candidato un saludo desde Córdoba teton
6 semResponder
Ocultado por Instagram
Ratifico, eres el mejor💯💪@miguemontes1
6 semResponder
Este reel tiene 2 comentarios de Facebook.</t>
  </si>
  <si>
    <r>
      <rPr>
        <color rgb="FF1155CC"/>
        <u/>
      </rPr>
      <t>Instagram</t>
    </r>
  </si>
  <si>
    <t>0:30</t>
  </si>
  <si>
    <t>Miguel Montes Curi avanza en los preparativos de una nueva sesión de fotos que marcará el comienzo de un capítulo clave en su camino hacia la Cámara.
Esta vez, apuesta por una imagen fresca, cercana y con un estilo diferente, mostrando exactamente lo que es: un joven sencillo, auténtico y con la preparación necesaria para asumir este gran reto.
Migue quiere transmitir su esencia sin poses ni exageraciones, solo su realidad: un joven que ha trabajado, estudiado y se ha formado para representar con responsabilidad y respeto a su gente.
Cada detalle de esta sesión —el concepto, la luz, el mensaje y la estética— está pensado para reflejar su visión, su disciplina y su compromiso con el futuro.
Muy pronto, presentará una propuesta renovada que mostrará no solo su imagen, sino la fuerza, la preparación y la humildad con la que llega a este proceso.</t>
  </si>
  <si>
    <t>El mejor!❤️
7 sem2 Me gustaResponder
Excelente Migue!!👏👏👏
7 sem1 Me gustaResponder
Naturalidad y elegancia! @miguemontes1 ❣️
7 sem1 Me gustaResponder
El mejooooorrrr 👏👏👏👏
7 sem1 Me gustaResponder
😍😍😍😍
7 sem2 Me gustaResponder
El mejor
7 sem1 Me gustaResponder
👏👏👏👏 super 👏👏👏👏
7 sem1 Me gustaResponder
👏👏👏👏
6 sem1 Me gustaResponder
Arriesgarse papá 👏👏😍😍
7 sem1 Me gustaResponder
Asi es @miguemontes1 vamos con toda para adelante sin mirar atrás tienes un gran carisma y eres autentico y sencillo Dios te bendiga randemente!
7 sem1 Me gustaResponder
👏👏 éxitos
7 sem1 Me gustaResponder
👏👏👏
7 sem1 Me gustaResponder
👏👏👏👏👏👏
7 sem1 Me gustaResponder
El massss 🔝
6 sem1 Me gustaResponder
👏👏👏👏@miguemontes1 💯💪
7 sem1 Me gustaResponder
👏👏
7 sem1 Me gustaResponder
Firme , mi próximo representante 👏👏👏👏👏👏👏👏
7 sem1 Me gustaResponder
👏👏👏👏
7 semResponder
👏👏👏@miguemontes1
7 sem1 Me gustaResponder
🙌🙌
7 sem1 Me gustaResponder
Firmeee👏👏👏
5 semResponder
¡Todo el apoyo!
El mejor de los mejores 👏🏽
7 sem1 Me gustaResponder
Ideas frescas mente joven con visión y compromiso justo lo que el departamento requiere vamos que vamos @miguemontes1
7 semResponder
Miguel Montes Curi emerge como una promesa fresca y vigorosa para la Cámara de Representantes por Bolívar. Su juventud, combinada con una profunda conexión con las necesidades del departamento, lo posiciona como el candidato idóneo para impulsar una verdadera transformación. Miguel representa la energía y la visión que Bolívar necesita para enfrentar los desafíos del futuro, con un firme compromiso por la transparencia, el desarrollo social y la defensa de los intereses regionales. Su aspiración no es solo una candidatura; es la oportunidad de llevar una voz genuina y renovada al Congreso, garantizando que los bolivarenses tengan un representante dedicado y eficaz. @miguemontes1
Con la ayuda de De Dios ...!
5 semResponder
Un gran Bolivarense
7 sem1 Me gustaResponder
Modernización de la visión política para una sociedad más igualitaria donde primen los derechos de los ciudadanos sin discriminación
6 sem1 Me gustaResponder
Modernización de y
6 semResponder
Llámeme que tengo un trabajo social con mi fundación social
7 semResponder
Y seguirá la compra de votos y la feria de contratos en este país ….
4 semResponder
Firme
7 sem1 Me gustaResponder
Grande Migue!
7 semResponder
Cuenta con mi voto
7 semResponder
Soy amigo de Laureano curi
7 semResponder
Soy abogado y líder comunitario social
7 semResponder
3014535146
7 semResponder
S V P 🔥 @miguemontes1
7 sem1 Me gustaResponder
3044535146
7 semResponder
Pura maquinaria engrasada $$$$$$$$$$$$$$$$$$$$$$$$$$$$
4 semResponder</t>
  </si>
  <si>
    <r>
      <rPr>
        <color rgb="FF1155CC"/>
        <u/>
      </rPr>
      <t>Instagram</t>
    </r>
  </si>
  <si>
    <t>0:50</t>
  </si>
  <si>
    <t>¿Te has hecho una sesión de fotos? Contrario a lo que pensé, no es para nada fácil. 🫣😰😂
Detrás de cada foto hay algo que casi nunca se ve: el esfuerzo de quien está detrás de la cámara. Ser fotógrafo —o director creativo— no es solo apretar un botón; es entender la luz, el ángulo, la esencia y la historia que alguien quiere proyectar.
Los invito a valorar el trabajo de aquellos que se preocupan por cada detalle para que tu marca personal transmita el mensaje que tú quieres darle al mundo.</t>
  </si>
  <si>
    <t>Wao jajajaja lo veo y no lo creo!! Amo esta versión 😍❤️
7 sem1 Me gustaResponder
Naciste para ser una rock star manitoooo🤩🤩
7 sem1 Me gustaResponder
Ya me imagino lo espectacular que quedarán esas fotos 🔥 @miguemontes1 con toda 🫰
7 sem1 Me gustaResponder
Mi amor hermosoooo❤️ las fotos quedarán preciosas porque ese equipo es lo más y tú eres una lindura❤️🔥 con todaaaaaaa
7 sem3 Me gustaResponder
Divinoooo mi@migue. Te amooo
7 sem1 Me gustaResponder
@ac.nana68 yo mássssssss
7 semResponder
Migue ❤️❤️❤️ con todaaaa
7 sem1 Me gustaResponder
Empezó esto 🔥
7 sem1 Me gustaResponder
El mejor 👏👏👏💯💪 @miguemontes1 🔥
7 semResponder
Espectacular ❤️🙌🙌🙌🙌
7 sem1 Me gustaResponder
👏👏
7 sem1 Me gustaResponder
👏👏👏👏
7 sem1 Me gustaResponder
❤️
7 sem1 Me gustaResponder
👏👏
7 sem1 Me gustaResponder
Con toda miguel
7 sem1 Me gustaResponder
👏👏👏👏👏
7 sem1 Me gustaResponder
Super! 👏👏👏
7 sem1 Me gustaResponder
Amooo 😍 👏👏
7 sem1 Me gustaResponder
👏👏👏👏👏👏👏👏👏👏
7 sem1 Me gustaResponder
👏👏👏👏👏
7 sem1 Me gustaResponder
Grande primo! Metiendole duroooo
7 sem1 Me gustaResponder
@walomeca tenías que darle unas clases antes de cómo posar para un lente y así no sintiera tanto miedito.jjajaja
7 sem2 Me gustaResponder
👏👏👏👏👏👏
7 sem1 Me gustaResponder
👏👏👏👏👏 con todaaaa
6 sem1 Me gustaResponder
Bellooooo 😍😍😍❤️❤️👏👏👏
7 sem1 Me gustaResponder
👏👏👏
7 sem1 Me gustaResponder
Vamos mi hermano y candidato apoyo 101% cartagena presente barrio
5 semResponder
Divino 👏👏👏👏👏
7 sem1 Me gustaResponder
👏👏👏👏👏
7 semResponder
Dios contigo Migue
7 sem1 Me gustaResponder
Pa'lante👏👏
7 sem2 Me gustaResponder
@walomeca y yo somos expertas en eso
7 sem2 Me gustaResponder
Gaviota y república de Venezuela presente
5 semResponder
LETS FKING GOOO🔥🔥🔥</t>
  </si>
  <si>
    <r>
      <rPr>
        <color rgb="FF1155CC"/>
        <u/>
      </rPr>
      <t>Instagram</t>
    </r>
  </si>
  <si>
    <t>1:27</t>
  </si>
  <si>
    <t>Hoy viví una de las tradiciones que más disfruto en noviembre: nuestras Fiestas de Independencia. 🥳🎉
Bailé, compartí espuma, recibí abrazos y sonrisas… ¡qué alegría ver a tanta gente celebrando con tanto color y folclor!
Gracias por la buena energía. Estas son las cosas que hacen grande a nuestra comunidad. 🇨🇴✨</t>
  </si>
  <si>
    <t>🔥🔥🔥🔥 Ayyyyy no te viii!! Casi bailo en estaaa!! Espectacular
7 sem1 Me gustaResponder
Que alegría y sabrosura Migue !! 😍😍 Que espectacular!!
8 sem1 Me gustaResponder
Que top! 🥳 🔝🔥Amigo no haber estado allá para bañarnos en espuma 🤣🤣🤣
8 sem1 Me gustaResponder
Super migue excelente con esa alegría que transmites así tiene q ser ESE ES MI CANDIDATO ❤️🙌
8 sem2 Me gustaResponder
Una experiencia maravillosa para enorgullecerse de nuestra ciudad , vamos con toda mi repre 🙌🙌🙌🙌
8 sem1 Me gustaResponder
Vivimos la expresión de nuestra esencia cultural al rojo vivo! Que experiencia tan espectacular.
8 sem1 Me gustaResponder
Tremenda comparsa espectacular Migue waoooo
8 sem2 Me gustaResponder
Te amo ❤️
Eres el mejor , gracias por brindarnos tu corazón en cada cosa que haces !
Por la gente y para la gente
Proud friend
8 sem1 Me gustaResponder
La distes toda 🔥
8 sem1 Me gustaResponder
Buena aceptacion por el Pueblo seras un politico DIFERENTE y que Dios te lleve a ese triunfo god bless you👍🙏🙏❤️
8 sem3 Me gustaResponder
Super experiencia. La diste toda Migue!
8 sem1 Me gustaResponder
Que mi Dios lo bendiga y siempre sea alegre y acogedor con su gente del pueblo palante hijo sin miedo al éxito te queremos Miguel
5 sem1 Me gustaResponder
Como debe ser, orgullosos de nuestra tierra👏
8 sem1 Me gustaResponder
Suena muy rico y te ves tan cálido eres orgulloso y corazón caribe esta comparsa es totalmente espectacular @miguemontes1
8 sem1 Me gustaResponder
Ay mi hermosura a, orgullo mío te amoooooooo
8 sem1 Me gustaResponder
🔥🔥🔥🔥 Ayyyyy no te viii!! Casi bailo en estaaa!! Espectacular
7 sem1 Me gustaResponder
Que alegría y sabrosura Migue !! 😍😍 Que espectacular!!
8 sem1 Me gustaResponder
Que top! 🥳 🔝🔥Amigo no haber estado allá para bañarnos en espuma 🤣🤣🤣
8 sem1 Me gustaResponder
Super migue excelente con esa alegría que transmites así tiene q ser ESE ES MI CANDIDATO ❤️🙌
8 sem2 Me gustaResponder
Una experiencia maravillosa para enorgullecerse de nuestra ciudad , vamos con toda mi repre 🙌🙌🙌🙌
8 sem1 Me gustaResponder
Vivimos la expresión de nuestra esencia cultural al rojo vivo! Que experiencia tan espectacular.
8 sem1 Me gustaResponder
Tremenda comparsa espectacular Migue waoooo
8 sem2 Me gustaResponder
Te amo ❤️
Eres el mejor , gracias por brindarnos tu corazón en cada cosa que haces !
Por la gente y para la gente
Proud friend
8 sem1 Me gustaResponder
La distes toda 🔥
8 sem1 Me gustaResponder
Buena aceptacion por el Pueblo seras un politico DIFERENTE y que Dios te lleve a ese triunfo god bless you👍🙏🙏❤️
8 sem3 Me gustaResponder
Super experiencia. La diste toda Migue!
8 sem1 Me gustaResponder
Que mi Dios lo bendiga y siempre sea alegre y acogedor con su gente del pueblo palante hijo sin miedo al éxito te queremos Miguel
5 sem1 Me gustaResponder
Como debe ser, orgullosos de nuestra tierra👏
8 sem1 Me gustaResponder
Suena muy rico y te ves tan cálido eres orgulloso y corazón caribe esta comparsa es totalmente espectacular @miguemontes1
8 sem1 Me gustaResponder
Ay mi hermosura a, orgullo mío te amoooooooo
8 sem1 Me gustaResponder
Mi hermano querido
8 sem1 Me gustaResponder
Excelente👏👏!!!
8 sem1 Me gustaResponder
Magiciannnnn🔥🔥
8 sem1 Me gustaResponder
Espectacular, te la gozaste 👏👏👏
8 sem1 Me gustaResponder
Que espectacular ❤️😍
8 sem1 Me gustaResponder
DJ XEXO!👏
8 sem1 Me gustaResponder
Buena Migue por esa vibra y ese entusiasmo
8 sem1 Me gustaResponder
🔥🔥🔥
7 sem1 Me gustaResponder
🔥🔥🔥🔥🔥🔥🔥🙌❤️❤️
5 sem1 Me gustaResponder
Un joven que ama su cultura y vive sus fiestas.
8 sem2 Me gustaResponder
Que sabrosura en cartagena🔥🔥 @miguemontes1
8 sem1 Me gustaResponder
Que saborrrrrr 👏👏👏
8 sem1 Me gustaResponder
😍😍😍
8 sem1 Me gustaResponder
👏👏👏👏👏👏👏👏👏
8 sem1 Me gustaResponder
Bacanisimooo maniiii
8 sem1 Me gustaResponder
Super!
8 sem1 Me gustaResponder
Vacílatela migue 👏
8 sem1 Me gustaResponder
Quién lo vive es quien lo goza
8 sem1 Me gustaResponder
Sabrosoooooooo 🔥🔥🔥
8 sem1 Me gustaResponder
Vaya candidato
8 sem3 Me gustaResponder
Este reel tiene 3 comentarios de Facebook.</t>
  </si>
  <si>
    <r>
      <rPr>
        <color rgb="FF1155CC"/>
        <u/>
      </rPr>
      <t>Instagram</t>
    </r>
  </si>
  <si>
    <t>0:32</t>
  </si>
  <si>
    <t>En el marco de la conmemoración de la Independencia de Cartagena, el joven Miguel Montes destaca una visión distinta del orgullo cartagenero: la independencia que se refleja en el mototaxista que, bajo el sol intenso, sale cada día a buscar su sustento.
Para él, ese espíritu de lucha y rebusque encarna la verdadera libertad de la ciudad, la que se vive en las calles y se alimenta del trabajo diario.
Montes señala que la madre cabeza de familia, el vendedor ambulante y el mototaxista representan la fuerza del pueblo cartagenero, esa que no se rinde ante la adversidad y mantiene viva la esencia de una ciudad construida con esfuerzo y esperanza.</t>
  </si>
  <si>
    <t xml:space="preserve">Cartagena de Indias: el rincón del Caribe donde la historia se mezcla con la alegría, el sol brilla más fuerte y la vida se siente sabrosa… Excelente @miguemontes1
8 sem1 Me gustaResponder
Genial aveces nos olvidamos de que cada cartegenero tiene una historia para contar 🙌🏻 vamos con todo mi repre 🙌🏻🙌🏻🙌🏻🙌🏻 @miguemontes1
8 sem2 Me gustaResponder
Excelente!! @miguemontes1 que viva la Heroica!❤️💛💚
8 sem1 Me gustaResponder
👏👏👏👏
8 sem1 Me gustaResponder
Super espectacular @miguemontes1 gracias por recordarnos una vez más, lo orgullosos que debemos sentirnos de nuestra hermosa Cartagena😍🙌💛💚❤️
8 sem1 Me gustaResponder
Vamos con todo @miguemontes1 y que viva mi CARTAGENA!!
8 sem1 Me gustaResponder
@miguemontes1 Gracias por enseñarnos que Cartagena es mucho más que sitios turísticos: es historia, es cultura y, sobre todo, es su gente.❤️
8 sem1 Me gustaResponder
Que carisma tan lindo tienes @miguemontes1 ❤️🔥
8 semResponder
Una mejor Cartagena la construye su gente: la que se levanta antes del sol para vender fritos, la que lucha sin rendirse, la que sonríe en medio del calor y las dificultades. Esa Cartagena que no se detiene, que sueña y avanza, es la que nos llena de orgullo. 💛 Gracias @miguemontes1 por hacernos ver que Cartagena no solo son murallas y mar, sino su gente valiente, la que madruga, lucha y nunca deja de soñar❤️
8 sem1 Me gustaResponder
😍😍😍😍😍
8 semResponder
Te felicito tienes sentido de pertenencia por nuestra linda Cartagena 😍👏👏👏
8 semResponder
Pa encima 🔥
8 sem1 Me gustaResponder
👏🏼👏
8 sem1 Me gustaResponder
Excelente @miguemontes1
8 sem1 Me gustaResponder
Las madres de las desaparecidas en cartagena no nos rendiremos..libertad para nuestras hijas 💜👩‍❤️‍👩👭⚖️⚖️⚖️justicia
8 sem7 Me gustaResponder
El mototaxismo no nos representa como cartageneros, al contrario ha traído atraso y desorden a la ciudad.
8 semResponder
👏👏👏🙌Firmee@miguelmontes1
8 semResponder
</t>
  </si>
  <si>
    <r>
      <rPr>
        <color rgb="FF1155CC"/>
        <u/>
      </rPr>
      <t>Instagram</t>
    </r>
  </si>
  <si>
    <t>Cartagena no solo se celebra, se siente 💛❤️
En cada barrio, en cada historia, está la fuerza que nos hace únicos.
#11DeNoviembre #CartagenaSomosTodos #OrgulloCartagenero #MiguelMontes</t>
  </si>
  <si>
    <t>Cartagena de Indias, tierra de historia, mar y libertad. ¡Feliz independencia, Heroica! 🇨🇴
✨️💕
8 sem2 Me gustaResponder
🔥👏🏼 hermosa mi Cartagena
8 sem5 Me gustaResponder
👏👏👏 Cartagena la fantástica 😍
8 sem1 Me gustaResponder
Hermosa mi Cartagena😍🙌🙏🙌💪💯
8 sem1 Me gustaResponder
Por siempre con mi Cartagena del alma ❤️❤️❤️❤️
8 sem3 Me gustaResponder
Siento que me hablas en persona, que carisma tan lindo @miguemontes1 y que viva Cartagena!!!!❤️🙌
8 semResponder
❤️💛💚
8 sem1 Me gustaResponder
😍CARTAGENA LA HERMOSA 😍
8 sem1 Me gustaResponder
Cartagena,mi ciudad de ensueño y belleza, con sus calles empedradas y su arquitectura colonial. La ciudad amurallada, el Castillo de San Felipe y la bahía de Cartagena son solo algunos de los tesoros . Disfrutar de la comida del Caribe, la música y la calidez de su gente. Vamos por mas @miguemontes1
8 sem1 Me gustaResponder
Mi persona favorita en mi ciudad favorita❤️🥹
8 sem5 Me gustaResponder
Cartagena, la mejor ciudad del mundo...Dios bendiga a cartagena la fantástica @miguemontes1
8 sem1 Me gustaResponder
Cartagena es la ciudad que le debo todo , una ciudad para amarla y cuidarla eternamente @miguemontes1 un abrazo .
8 sem1 Me gustaResponder
Sin duda alguna eres el mejor 🙌👏👏
8 sem1 Me gustaResponder
Mi siempre histórica y luchadora CARTAGENA. 🙌
8 sem3 Me gustaResponder
Cartagena es lo que es gracias a su gente: a quienes madrugan, a los que luchan con el sol y la esperanza, a los que con su trabajo mantienen viva la esencia de la ciudad.💕😍🦋
8 sem2 Me gustaResponder
😍😍😍😍 amoooo
8 sem3 Me gustaResponder
Cartagena, ejemplo de Lucha ❤️❤️
8 sem3 Me gustaResponder
😍😍😍😍😍😍
8 sem2 Me gustaResponder
La cartagena dr todos. Todos somos cartagena y por eso debemos amarla y cuidarla
8 sem1 Me gustaResponder
Cartagena de Indias inspiración del Caribe ! ❤️💛💚
8 sem1 Me gustaResponder
👏👏👏👏👏👏
8 sem1 Me gustaResponder
De. Acuerdo Miguel!! Felicidades en el dua de la independencia de la hermosa Cartagena de Indias
8 semResponder
Súper 💛💚❤️
8 sem2 Me gustaResponder
Hermosa 🤩 Cartagena 👏👏👏👏
8 sem2 Me gustaResponder
👏🏻❤️
8 sem1 Me gustaResponder
Cartagena ❤️ linda y hermosa necesitamos personas asi q amen a nuestra ciudad Dios te bendiga
8 sem1 Me gustaResponder
Hablas de la cartagenidad 🙌👏❤️🔥
8 sem5 Me gustaResponder
Mi cartagena bella ❤️
8 sem5 Me gustaResponder
👏🏽
8 sem1 Me gustaResponder
👏👏👏👏👏👏👏👏
8 sem1 Me gustaResponder
patacón mi prooooo jajaja
8 sem2 Me gustaResponder
Cartagena de mi ❤️❤️❤️
8 sem1 Me gustaResponder
👏
8 sem2 Me gustaResponder
👏👏
8 sem1 Me gustaResponder
La heroica Cartagena 🔥
8 sem1 Me gustaResponder
🔥
8 sem1 Me gustaResponder
Hermosaaa cartagena 😍😍
8 sem3 Me gustaResponder
Ejemplo de lucha siempre
8 sem1 Me gustaResponder
👍👍👍
8 semResponder
El papa de los pollitos 😇😇
8 sem1 Me gustaResponder
Este reel tiene 2 comentarios de Facebook.</t>
  </si>
  <si>
    <r>
      <rPr>
        <color rgb="FF1155CC"/>
        <u/>
      </rPr>
      <t>Instagram</t>
    </r>
  </si>
  <si>
    <t>2:00</t>
  </si>
  <si>
    <t>En la mañana del 6 de noviembre de 1985 un comando del M-19 asaltó el Palacio de Justicia. 🏛️
La toma y retoma del Palacio simboliza la dificultad que tenemos los colombianos para alcanzar una verdad única y aceptada colectivamente.
Las versiones oficiales, las investigaciones independientes y los relatos familiares divergen; la reparación y la memoria siguen en disputa. 💢
Enseñémosle a las nuevas generaciones la importancia de recuperar el pasado y aprender de sus lecciones. 🧠💡</t>
  </si>
  <si>
    <t>Muy fuerte , no debemos olvidar y debemos recordar para no repetir 👏👏
9 sem2 Me gustaResponder
Demasiado fuerte, debemos recordar para no repetir 🥺❤️‍🩹
9 sem1 Me gustaResponder
Ufff que fuerte!!
9 sem1 Me gustaResponder
Demasiado dolor💔🥺
Hay que seguir hablando y recordando estos hechos tan difíciles ya que «quien no conoce su historia está condenado a repetirla»❤️‍🩹
9 sem2 Me gustaResponder
👏👏👏👏👏😢 muy fuerte , es necesario recordar para tejer una mejor sociedad 🙏🙏🙏🙏
9 sem1 Me gustaResponder
Suceso de nunca olvidar..!!!
9 sem1 Me gustaResponder
❤️‍🩹
9 sem1 Me gustaResponder
❤️‍🩹❤️‍🩹👏
9 sem2 Me gustaResponder
🙌🙌🙌 muchos saludos desde el caño Juan Angola en torices
8 sem2 Me gustaResponder
Ya son 40 años, como pasa el tiempo 😔
9 sem1 Me gustaResponder
👏🥲❤️‍🩹❤️‍🩹
9 sem2 Me gustaResponder
Una cápsula para la memoria 😢
9 sem1 Me gustaResponder
Es triste, fuerte, pero es una realidad y no se puede olvidar, los jovenes a futuros deben saber la historia real.💪💯
9 sem1 Me gustaResponder
Totalmente cierto migue la guerrilla a hecho mucho daño lamentablemente es triste pero es la realidad 👏🙌
9 sem6 Me gustaResponder
🕊️ Por los que no volvieron, por la verdad que aún vive.
Memoria para sanar, justicia para avanzar.
#6y7deNoviembre #PalacioDeJusticia
9 sem1 Me gustaResponder
👏👏👏👏👏
9 sem1 Me gustaResponder
😢😢
9 sem1 Me gustaResponder
Estaba pequeña y me acuerdo tanto de eso. Fue dolor de patria definitivamente.
9 sem1 Me gustaResponder
🙌🙌🙌
9 sem1 Me gustaResponder
@yenifermunoz15 huy huy muy fuerte😢😢
9 sem1 Me gustaResponder
😢😢
9 sem1 Me gustaResponder
Importante recordar este hecho ya que han pasado 40 años y los jóvenes de hoy algunos saben por encima la noticia otros no tienen idea
9 sem2 Me gustaResponder
A 40 años del Holocausto del Palacio de Justicia, es imposible no evocar la figura del magistrado Alfonso Reyes Echandía, símbolo de la razón en medio del caos. Su voz, pidiendo el cese al fuego, representó la dignidad de la justicia frente a la barbarie 👏👏
9 sem1 Me gustaResponder
Lamentable, parece prohibido olvidar.
9 sem1 Me gustaResponder
Es nuestra realidad, sucesos para nunca olvidar
9 sem1 Me gustaResponder
Entre el humo se apagaron voces inocentes. Nos obliga a mirar hacia atrás para no repetir los mismos errores y para reconocer el valor de la vida, de la verdad y de la justicia.
9 sem1 Me gustaResponder
Qué bueno nunca olvidar tanto daño que nos ha causado la guerrilla
9 sem3 Me gustaResponder
Migue, vas a aspirar a la cámara de representantes por Bolívar???
9 sem1 Me gustaResponder
Muy doloroso
9 sem1 Me gustaResponder
😢
9 sem1 Me gustaResponder
Lamentable la historia violenta de nuestro país! Y lo peor a la gente se le olvida y continúa fomentando el odio
9 sem2 Me gustaResponder
Un tema complejo , envuelto en verdades a medias sin salir , “teorías de conspiraciones “ , sentencias falladas a favor y otras por salir , complejo…
9 sem1 Me gustaResponder
Es triste ver cómo la historia de Colombia está marcada por el odio y la violencia. Ojalá actos así no se repitan.
9 sem3 Me gustaResponder
Quién no conoce su historia está condenado a repetirla. Prohibido olvidar dicho Holocausto.
9 sem1 Me gustaResponder
La historia contada a medias por quienes se han perpetuado en el poder, a través de los medios de comunicación, pero el pueblo ya no les come cuento
9 sem8 Me gustaResponder
1985
9 sem1 Me gustaResponder
👏fuerte😪😪
9 sem1 Me gustaResponder
Quien no conoce la historia está condenado a repetirla.
9 sem1 Me gustaResponder
El mismo narco estado ordenó el asesinato de los magistrados. Ya ha sido confesado.
9 sem5 Me gustaResponder
La herida que aún no cicatriza en nuestro país, La violencia. ❤️‍🩹
9 sem1 Me gustaResponder
👏👏👏
9 sem1 Me gustaResponder
La toma fue impresionante pero más la retoma por parte del Ejército, historias con mentiras y verdades a medias
6 sem1 Me gustaResponder
1985 querido
9 semResponder
1985 ****
9 semResponder
Ocultado por Instagram
La verdad es que el Grupo narcoterrorista del M19 se tomó a sangre y fuego el@Palacio de justicia, no sé por qué maquillan, entraron a quemar los expedientes pagos por Pablo Escobar esa es la verdad. Quieren montar el discursito de que los asesinos del M19 fueron los buenos.
9 sem2 Me gustaResponder
Este reel tiene 2 comentarios de Facebook.</t>
  </si>
  <si>
    <r>
      <rPr>
        <color rgb="FF1155CC"/>
        <u/>
      </rPr>
      <t>Instagram</t>
    </r>
  </si>
  <si>
    <t>1:00</t>
  </si>
  <si>
    <t>Vlogsito de un día conmigo en Magangué, Bolívar. 😂
Hoy se celebraron los Carnavales Comunales de la Capital de los Ríos. Carrozas, desfiles, baile, música y pura alegría, ¿pa’ qué más?🎭🥁🎺🪘🎊🎉</t>
  </si>
  <si>
    <t>Buenísimooooooo migue 🙌 bienvenido siempre
9 sem1 Me gustaResponder
Que viva Dubái... Nada como el mall. Jejejejejeje
9 sem1 Me gustaResponder
VLOGGGGGGSITO LLEVENMEA DUBAI GRACIAS 😂😂😂😂
9 sem1 Me gustaResponder
Espectacular 👏👏👏😂
9 sem1 Me gustaResponder
JAJAJJAJAJAJAJJAJAJAJJAJAJA
9 sem1 Me gustaResponder
Dojoda yo buscando pa actualizar el Instagram por que salía el audio errado
9 sem16 Me gustaResponder
😂😂😂😂
9 sem1 Me gustaResponder
Jajajajajajajajaja no doyyyy!!!!
9 sem1 Me gustaResponder
Eso sí es pasarla bueno
9 sem1 Me gustaResponder
Dios te bendiga 👏🙌
9 sem1 Me gustaResponder
❤❤
9 sem1 Me gustaResponder
😂😂😂😂😂😂😂😂😂😂😂😂😂 entre a Sephora y me compré una pestañina de 600 mil😂
8 semResponder
Jajajajajajajajaja 😂
9 sem1 Me gustaResponder
😍😍😍😍😍Espectacular
9 sem1 Me gustaResponder
😂😂😂😂😂
9 sem1 Me gustaResponder
Que risa esta vaina 🤣🤣🤣🤣🤣🤣
4 semResponder
😂😂😂😂😂
9 sem1 Me gustaResponder
Se ve bueeeeno ese chuzo 🔥
8 semResponder
JAJAJAJAJAJAAJJAJAJAJAIA
9 sem1 Me gustaResponder
Excelente tour 👏👏👏👏
8 sem1 Me gustaResponder
😂😂
9 sem1 Me gustaResponder
😂😂
9 sem1 Me gustaResponder
😂😂😂😂
9 sem1 Me gustaResponder
JAJAJ RE-TOPP🔥
9 sem2 Me gustaResponder
Jejejejeje buenismooo hermano. 🙌👏
9 sem5 Me gustaResponder
😂😂😂😂 Dubai - Bolivar
9 sem2 Me gustaResponder
Jajajja un contraste panorámico brutal
5 semResponder
😂😂😂😂😂
9 semResponder
Y estos manes quienes son ?
9 semResponder
Este reel tiene 1 comentario de Facebook.</t>
  </si>
  <si>
    <r>
      <rPr>
        <color rgb="FF1155CC"/>
        <u/>
      </rPr>
      <t>Instagram</t>
    </r>
  </si>
  <si>
    <t>En honor a los 249 años de la bella Magangué de los ríos me como un par de bocachicos, en viuda pa’ la dieta y frito pa’ empatar.
Un grupo internacional de científicos identificó el genoma del Prochilodus magdalenae para su preservación y así garantizar su seguridad alimentaria, principalmente en Bolívar.
¡Vengamos a conocer todo lo que nuestro departamento tiene para ofrecer!</t>
  </si>
  <si>
    <t>La mejor celebración de cumpleaños para nuestro municipio de Magangue 🙌🙌 se ve buena esa comida
10 sem1 Me gustaResponder
Échale mano papiiiiiiii
10 sem6 Me gustaResponder
Diossss míoooo ME TIENES QUE LLEVAR MI AMORRRRR
10 sem6 Me gustaResponder
Todos bienvenidos a mi tierra ! 👏🎣☀️
9 sem1 Me gustaResponder
Es una experiencia inolvidable....para repetir mil veces 😍👏👏👏 no me gustaba el bocachico hasta que lo pude probar en Magangue🤤🤤
10 sem4 Me gustaResponder
Una experiencia culinaria que de verdad se disfruta!
10 sem3 Me gustaResponder
Se ve deliciosoooo😩😭✨💥🥹 que ricoooo
10 sem3 Me gustaResponder
Ufff eso se ve delicioso 🤭
10 sem1 Me gustaResponder
Éxitos hermano 👏🙌dele duro por el departamento de bolivar
10 sem1 Me gustaResponder
Mi tierra bella
9 sem1 Me gustaResponder
👏👏👏👏👏😍😍😍
10 sem1 Me gustaResponder
Bienvenido a la capital de los rios 🙌
10 sem6 Me gustaResponder
Que delicia me encanta un bocachico
10 sem1 Me gustaResponder
El mejor ❤️
10 sem1 Me gustaResponder
Que disfrute solo con ver ahora saborear y estar ahí debe ser toda una experiencia
10 sem2 Me gustaResponder
Firmeee👏
10 sem1 Me gustaResponder
Yo también quiero me lleves miguelito 😍😍
10 sem1 Me gustaResponder
Ese bocachico se ve supremo🫱🏻‍🫲🏼🙌🏻🔥
10 sem2 Me gustaResponder
Bocachico en viuda no le gana a nadieeeeeeeee, justo hoy me estaba soñando uno.
10 sem1 Me gustaResponder
Necesito estar en uno de esos tours gastronómicos contigo bro, se ve bárbaro ese bocachico
10 sem3 Me gustaResponder
La cara del que lo acompaña al ver como se come el bocachico jajajja
10 sem1 Me gustaResponder
👏👏👏
10 sem2 Me gustaResponder
👏👏👏👏Super Rico 👏👏👏
10 sem1 Me gustaResponder
Excelente!
10 sem1 Me gustaResponder
👏👏👏
10 sem1 Me gustaResponder
Bájala con 2 chepas.
10 sem5 Me gustaResponder
Un manjar de los Dioses
10 semResponder
Me hiciste salivar pero mal hahahah 🫶🏼😂
10 sem1 Me gustaResponder
👏
9 semResponder
Marialabaja presente 💪🏾
10 sem1 Me gustaResponder
No lo conozco pero estoy seguro que va a aspira a algún cargo de elección popular y si me equivoco disculpa,pero es lo típico de quien va a aspirar a algo es como el otro año ese 2 de febrero es bueno porque van todos los candidatos
10 semResponder
Joda viejo migue hay que pegarse la rodadita por allá a probar ese bocachico arroyado
10 sem1 Me gustaResponder
Traemeeeeeeewww
10 sem2 Me gustaResponder
Este reel tiene 4 comentarios de Facebook.</t>
  </si>
  <si>
    <r>
      <rPr>
        <color rgb="FF1155CC"/>
        <u/>
      </rPr>
      <t>Instagram</t>
    </r>
  </si>
  <si>
    <t>1:31</t>
  </si>
  <si>
    <t>Se acercan las fiestas y es importante recordar a aquellos artistas que transformaron nuestras diversas tradiciones musicales a través de la experimentación y la mezcla de distintos registros populares. 🥁🎵🎤
Lucho Bermúdez fue un pionero que creó ritmos propios a partir de nuestras músicas ancestrales. Un genio adelantado a su tiempo que dejó un legado imborrable.
10 sem</t>
  </si>
  <si>
    <t>Bolivar es potencia nacional de talento y personajes honorables 👏👏👏
10 sem1 Me gustaResponder
Excelente!! 👏👏👏@miguelmontes1 por por mostrar al mundo la riqueza de nuestras raíces ❤️
10 sem1 Me gustaResponder
👏👏👏 Excelente 👏👏👏
10 sem1 Me gustaResponder
Genial!! Gracias por potenciar y mostrarnos la riqueza cultural de Bolivar 👏👏🔥
10 sem1 Me gustaResponder
❤️🔥🙌🙌🙌🙌👏
10 sem1 Me gustaResponder
Quién conoce la historia de nuestra tierra, es quien tiene la oportunidad de hacer mucho por las necesidades del territorio... Buena esa pelao🔥🙌
10 sem1 Me gustaResponder
😍😍😍😍😍🔥🔥🔥🙌🙌🙌
10 sem1 Me gustaResponder
Excelente 👊
10 sem1 Me gustaResponder
👏👏
10 sem1 Me gustaResponder
👏👏👏👏
10 sem1 Me gustaResponder
❤️🙌
10 sem1 Me gustaResponder
Esooo👏👏👏
10 sem1 Me gustaResponder
Nuestra tradición y cultura tienen un valor más profundo del que a veces recordamos. Gracias por recordárnoslo.
10 sem1 Me gustaResponder
Super...👏👏👏💯💪🥳🥳
10 sem1 Me gustaResponder
Excelente!!
10 sem1 Me gustaResponder
Super migue 👏👏👏
10 sem1 Me gustaResponder
👏👏👏
10 sem1 Me gustaResponder
Excelente @miguemontes1
10 sem1 Me gustaResponder
🙌🙌🙌
10 sem1 Me gustaResponder
Este reel tiene 5 comentarios de Facebook.</t>
  </si>
  <si>
    <r>
      <rPr>
        <color rgb="FF1155CC"/>
        <u/>
      </rPr>
      <t>Instagram</t>
    </r>
  </si>
  <si>
    <t>1:07</t>
  </si>
  <si>
    <t>En diversos puntos del planeta la generación Z salió a las calles a clamar representatividad política.
El prejuicio de que las generaciones jóvenes no se preocupan por el futuro es cada vez más obsoleto. La tecnología supone un riesgo pero también una oportunidad para construir una sociedad más equitativa.
¡No esperemos a que las cosas empeoren para actuar!
11 sem
Nosótros los jóvenes por naturaleza rechazamos las injusticias, nuestra convicción de que si se puede y nuestra fuerza interna y mental es la que ha hecho posible los grandes cambios de la humanidád. 👏👏</t>
  </si>
  <si>
    <t>Nosótros los jóvenes por naturaleza rechazamos las injusticias, nuestra convicción de que si se puede y nuestra fuerza interna y mental es la que ha hecho posible los grandes cambios de la humanidád. 👏👏
11 sem1 Me gustaResponder
Nos llamaron conformistas, pero somos la generación que dejó de esperar permiso para cambiar las cosas. No es rebeldía, es conciencia. Porque el futuro no se hereda, se construye.
11 sem1 Me gustaResponder
Los cambios generacionales son INEVITABLES !
11 sem1 Me gustaResponder
Las verdaderas democracias, preparan a los jóvenes para que sean ellos quienes de la mano de la tecnología y la modernidad tomen las riendas del estado.
11 sem1 Me gustaResponder
El pueblo siempre ha tenido el poder, solo que no lo sabe .😉
11 sem1 Me gustaResponder
La democracia es un proceso constante, no podemos subestimar las ganas de una generación que exige cambio.
11 sem3 Me gustaResponder
Estas manifestaciones y ganas de hacer y decir nos obligan a preguntarnos: ¿qué tan precario es el equilibrio entre control del Estado y libertad individual? y ¿cuánto valor tiene la voz colectiva ante las élites que creen estar por encima de todos?
La generación Z ha dado un escarmiento global!🔥
11 sem2 Me gustaResponder
Debemos crear conciencia y enseñar a los jóvenes que podemos replicar voces y hacernos sentir en la ciudad y en el país , los jóvenes debemos volver y tomarnos el terreno político de la ciudad /es.
11 sem1 Me gustaResponder
Este reel tiene 1 comentario de Facebook.</t>
  </si>
  <si>
    <r>
      <rPr>
        <color rgb="FF1155CC"/>
        <u/>
      </rPr>
      <t>Instagram</t>
    </r>
  </si>
  <si>
    <t>1:21</t>
  </si>
  <si>
    <t xml:space="preserve">🚨 Influencers de Colombia, cuidado.
En China ya no se puede publicar cualquier cosa en redes sociales: ahora se necesitan títulos o certificaciones para crear contenido sobre temas especializados.
Puede sonar extremo, pero deja una reflexión clara 👉 la credibilidad es la mejor influencia.
No se trata de tener un diploma, sino de tener responsabilidad digital.
¿Tú qué opinas? ¿Debería pasar algo así en Colombia o Latinoamérica?
</t>
  </si>
  <si>
    <t>Bien hecho👏
12 sem2 Me gustaResponder
Excelente info!👏
12 sem2 Me gustaResponder
O sea yo si puedo hablar
12 sem20 Me gustaResponder
Me parece maravilloso !!!!! 👏👏👏
12 sem2 Me gustaResponder
Muy bien!
12 sem3 Me gustaResponder
Me parece perfecto!
12 sem2 Me gustaResponder
👏👏👏👏 Excelente 👏👏👏
12 sem2 Me gustaResponder
Me encanta 👏👏👏🙌, apoyo total🙌💯
12 sem3 Me gustaResponder
Buen vídeo hermanos!
11 sem2 Me gustaResponder
Eres muy profesional @russi9n
12 sem2 Me gustaResponder
Punto negativo para la desinformación en redes sociales, muy bien🔝
12 sem9 Me gustaResponder
Tiene un lado bueno y otro no tan bueno. Las experiencias y testimonios de la gente nos sirven mucho a la hora de evaluar experiencias o productos. Se perdería ese lado pero por otro lado desinformación y polarización es un hecho al que hay que tenerle miedo. 🔥 increíble video🙌
12 sem3 Me gustaResponder
Ya era hora de que les pusieran límites a la gente que desinformación. Excelente información Migue 🙌👏
12 sem14 Me gustaResponder
Por fin algo bueno 👍👌👌
3 sem1 Me gustaResponder
🙌👏
12 sem3 Me gustaResponder
todos debemos creer que sabemos, o si no no hablamos 😂
12 sem2 Me gustaResponder
👏👏👏
12 sem2 Me gustaResponder
Menos mal si puedo porque yo hablo bastante
12 sem4 Me gustaResponder
Excelente, que informen y no desinforme. Responsabilidad con el público 👏
12 sem2 Me gustaResponder
Antes de opinar hay que estudiar 👀
12 sem7 Me gustaResponder
Necesaria la tomas de estas decisiones 👏 muchas personas hacen contenido de forma irresponsable sobre salud y no saben cómo pueden afectar a alguien 👏 excelente 🙌
12 sem1 Me gustaResponder
😮😮👏👏
12 sem4 Me gustaResponder
🙌🏽
12 sem3 Me gustaResponder
🙌🙌🙌
12 sem3 Me gustaResponder
😍😍🔥
12 sem2 Me gustaResponder
👏👏🙌
12 sem2 Me gustaResponder
Que miedo eso 😮
12 sem2 Me gustaResponder
En cuanto rija acá, me certifico porque todo lo que yo hablo es totalmente confiable
12 sem3 Me gustaResponder
Solo contenido e información veráz 👏
11 sem2 Me gustaResponder
👏👏👏
12 sem3 Me gustaResponder
Por un lado me parece que es un freno positivo a tanta desinformación que hay en las redes sociales, no lo digo por los creadores de contenido porque conozco algunos y hacen un buen trabajo, pero hay otros creadores de contenido que por seguir tendencias y ganar “views” o estadísticas no investigan un tema bien y ni siquiera citan, ni hablar que algunos hasta cometen plagio. es una enorme responsabilidad inspirar multitudes y debería haber limites sanos que permitan una buena información sin vulnerar el derecho a la libertad de expresión.
12 sem2 Me gustaResponder
👏👏👏👏👏
12 sem2 Me gustaResponder
🔥🔥
12 sem3 Me gustaResponder
Escucho mucho que dice que es No dan libertad de expresion, lo unico que hace la ley es que no digas boludez jajaja,
11 sem1 Me gustaResponder
Así es, la información que comparten los creadores de contenido debe ser confiable
12 sem2 Me gustaResponder
Pues si uno no sabe del tema es mejor callar y verificar muy bien para que no te eliminen tu cuenta
11 sem6 Me gustaResponder
Creo que debe hacerse con responsabilidad, así que no me desagrada
11 sem2 Me gustaResponder
Jum, y esos chinos son bastante exigentes con sus normas. soy fiel creyente porque cada que cambian las normas en tiktok literalmente las cumples o las cumples. buen date ✊🏻
12 sem2 Me gustaResponder
Ojalá pase en Colombia, tierra de pseudogurús de cualquier cosa
3 sem1 Me gustaResponder
Ocultado por Instagram
Muy bien , considero que existen much@s "LOROS" desinformando, sin indagar ,no realizar investigaciones etc. Al final esto le hacen mucho daño a los colombianos.</t>
  </si>
  <si>
    <r>
      <rPr>
        <color rgb="FF1155CC"/>
        <u/>
      </rPr>
      <t>Instagram</t>
    </r>
  </si>
  <si>
    <t>1:23</t>
  </si>
  <si>
    <t>Seguro te ríes si te digo que se acerca la rebelión de las máquinas. Pero, ¿y si te digo que ya existen gobernantes sintéticos, te preocuparías? 🤖😰
No subestimemos la capacidad de la ficción para adelantarse a los problemas del futuro. El arte tiene la facultad de confrontar los dilemas éticos de las nuevas tecnologías antes de que se desarrollen.
¿No nos corresponde estar informados y empezar a pensar cómo pueden transformar nuestro mundo para bien o para mal?</t>
  </si>
  <si>
    <t>Muy buen contenido bendiciones
12 sem1 Me gustaResponder
Waoooo!👏👏👏👏
12 sem1 Me gustaResponder
👏👏👏
12 sem1 Me gustaResponder
🔥🔥🔥🔥
12 sem1 Me gustaResponder
🚀 👨‍🚀 ❤️🔥🔥👏👏
12 sem2 Me gustaResponder
👏👏👏👏👏
12 sem1 Me gustaResponder
Desorden de la lógica dirían los griegos 😂
12 sem1 Me gustaResponder
Espectacularrrrrrrrrrrrrr🔥
La verdad es que sí me siento entrando en una distopíaaaa😂 y tengo pánico
12 sem1 Me gustaResponder
😢
11 sem1 Me gustaResponder
Que locura
12 sem1 Me gustaResponder</t>
  </si>
  <si>
    <t>Instagram</t>
  </si>
  <si>
    <t>2:23</t>
  </si>
  <si>
    <t>EL CHISME LITERARIO💅🏼💥 aquí se tiene que saber TODO DE ESTE CUENTO🤣💥</t>
  </si>
  <si>
    <t>Jajajaja me encantó el chisme
12 sem2 Me gustaResponder
Eres muy crack, ¡gracias por los jugosos detalles!
12 sem1 Me gustaResponder
Suena a que Gabo se metía donde no lo llaman 🧐🤣
12 sem2 Me gustaResponder
😍😍😍amo el chisme literario
12 sem2 Me gustaResponder
Chisme educativo 👏
12 sem4 Me gustaResponder
Ese cuento lo saben ellos dos, por otro lado Gabo se tuvo que haber mamado a Patricia
3 semResponder</t>
  </si>
  <si>
    <r>
      <rPr>
        <color rgb="FF1155CC"/>
        <u/>
      </rPr>
      <t>Instagram</t>
    </r>
  </si>
  <si>
    <t>1:36</t>
  </si>
  <si>
    <t>En el corazón de Bolívar, donde la tierra es generosa y la gente trabaja con pasión, celebramos una de las tradiciones más auténticas de nuestra región: el Festival del Ñame. 🌱✨
Más que una fiesta, este festival es un homenaje al esfuerzo de nuestros campesinos, a la cultura que nos identifica y al sabor que une a Colombia alrededor de la mesa. Aquí cada producto, cada receta y cada sonrisa reflejan el orgullo de una comunidad que cree en lo suyo. 💛
Apoyar la producción local no es solo consumir lo nuestro, es valorar el trabajo de quienes día a día mantienen viva nuestra identidad y mueven la economía de nuestros pueblos. 🇨🇴
Ven, conoce, disfruta y siente el poder de nuestras raíces.
Porque cuando apoyamos lo nuestro… ¡crecemos todos! 🌾💚</t>
  </si>
  <si>
    <t>Que bello estás mi Dios siempre te bendiga y proteja calilla 😂😂😂😂 saludos a Camilo @c.imitola1
12 sem1 Me gustaResponder
Es un espectáculo 😍👏👏👏👏🥳🥳🥳💯
12 sem2 Me gustaResponder
Qué orgullo ser de una tierra con tanto sabor y tradición 💚
12 sem6 Me gustaResponder
Felicitaciones a todos los que hacen posible este hermoso festival 🎉
12 sem5 Me gustaResponder
👏👏👏👏 todo se ve deliciosooooooo
12 sem1 Me gustaResponder
Te amo mi amorrrrr
12 sem1 Me gustaResponder
Así es que se apoya lo nuestro, con el corazón ❤️
12 sem4 Me gustaResponder
Uff eso se ve buenisimo para un mote de queso 🙌🙌🙌
12 sem5 Me gustaResponder
Que hermoso 😍
12 sem2 Me gustaResponder
👏👏👏👏👏👏👏👏😍
12 sem2 Me gustaResponder
Qué bonito ver a la gente unida en torno al campo 🌿
12 sem5 Me gustaResponder
Excelente, Que Siga viva La Cultura Bolivarenses!
12 sem2 Me gustaResponder
La torta de ñame ufff 🔥🙌
12 sem2 Me gustaResponder
Hasta cuándo es ?
12 sem2 Me gustaResponder
La cultura es lo más importante de las personas
2 sem1 Me gustaResponder
😍😍😍😍😍😍😍😍
12 sem4 Me gustaResponder
❤️❤️❤️🌱❤️❤️❤️
12 sem4 Me gustaResponder
🙋‍♂️😋🙋🏿‍♂️
12 sem1 Me gustaResponder
👏👏👏👏
12 sem2 Me gustaResponder
Que deliciaaaaaa se ve todo! Vi e vídeo chupándome los dedos 😂😂😂
12 sem2 Me gustaResponder
👏👏👏👏👏
12 sem1 Me gustaResponder
🔥🔥🔥🔥
12 sem3 Me gustaResponder
Cultura y sabor!!!
12 sem2 Me gustaResponder
Efectuky 🔥
12 sem2 Me gustaResponder
Bellooooo ese festival 👏🏽👏🏽🔥🙌🏻🙌🏻🌱🌱🇨🇴
12 sem6 Me gustaResponder
Excelente
12 sem2 Me gustaResponder
Una locuraaaa!
12 sem5 Me gustaResponder
@martaceciliacuri VAMOS
12 sem3 Me gustaResponder
Este reel tiene 1 comentario de Facebook.</t>
  </si>
  <si>
    <r>
      <rPr>
        <color rgb="FF1155CC"/>
        <u/>
      </rPr>
      <t>Instagram</t>
    </r>
  </si>
  <si>
    <t>2:38</t>
  </si>
  <si>
    <t>¿Nunca has sentido que tu mascota te entiende mejor que otros humanos aunque no pueda hablarte? 🐶🦮
Los perros evolucionaron con nosotros durante miles de años y esa relación nos permite ahora contar con ellos para tareas que nunca podríamos realizar.
Es fundamental entender el comportamiento animal para diseñar estrategias que nos permitan convivir con ellos en armonía. ¡Y eso empieza conociendo a tu mascota!</t>
  </si>
  <si>
    <t>Las mascotas tienen una forma única de entendernos. Su lealtad lo dice todo. Qué bonito mensaje 👏
13 sem2 Me gustaResponder
JAMASSS! Fígaro por siempre en mi vida ❤️ como hago para que sea eterno?? Debería ser la pregunta😍
13 sem2 Me gustaResponder
A nuestra bebé JAMÁS❤️
Ella si que es la mejor🥰
Te amo mi Fuji Caro😍
13 sem5 Me gustaResponder
Jamás y nunca mi sally es mi vida es mi hija!! Mi amor eternooooooo!! Te amo mi pequeña nenaaaaa😍😍
13 sem2 Me gustaResponder
Ni por todooo el orooo del mundooo ❤️❤️❤️❤️ Lo son todo todoooo
13 sem2 Me gustaResponder
Te entiendo migue❤️ yo amo a mis bebes😍
13 sem1 Me gustaResponder
Te entiendo, Migue. Las mascotas son parte esencial de nuestro hogar; representan un soporte emocional, una fuente constante de compañía, lealtad y bienestar. En términos simples, hacen parte de nuestra familia. 💛😍
13 sem4 Me gustaResponder
Ellos son almas puras, nos aman de manera incondicional no miran cuanto tenemos, ellos solo nos aman por lo que somos.❤️🙌
13 sem1 Me gustaResponder
Joa hermano, te entiendo👏
13 sem1 Me gustaResponder
Nuestro mejor aliado 🦮
13 sem1 Me gustaResponder
Super👏👏👏👏👏😍
13 sem1 Me gustaResponder
Muy excelentes disertaciones que enriquecen la cultura en nuestra sociedad gracias amigo
13 sem1 Me gustaResponder
X2 🥹🥹🥹 Ranche te amooo❤️‍🩹
13 sem2 Me gustaResponder
Año 2006 quedaba como gran campeon mi perro un Weimaraner puro del criadero se me acerca un. GANADERO ME OFRECE 5 MILLONES POR EL le dije no mi perro ganó 4 ferias consecutivas tuvo 33 hijos y dejo un legado muy grande de la raza y solo pienso jamás lo hubiera vendido me dió muchos años de felicidad, mi perro falleció Pero fui inmensamente FELIZ y sus recuerdos viven conmigo
12 sem1 Me gustaResponder
Los amo❤️
13 sem2 Me gustaResponder
Joven Miguel, cada día estamos refrescando
13 sem1 Me gustaResponder
Excelente!!
13 sem1 Me gustaResponder
Fuji 🥹🥹
13 sem2 Me gustaResponder
Qué es es este vídeo 👏👏👏👏
13 sem2 Me gustaResponder
👏👏👏👏 "La grandeza de una nación y su progreso moral, se puede juzgar por la forma en que son tratados sus animales". Gandhi
13 sem1 Me gustaResponder
FUJIIIIIII❤️❤️❤️
13 sem2 Me gustaResponder
Se demostró hace muchos años que el más fiel de los amigos es su mascota, un animal llamado perro. Ese es mi perro
13 sem1 Me gustaResponder
Este reel tiene 3 comentarios de Facebook.</t>
  </si>
  <si>
    <r>
      <rPr>
        <color rgb="FF1155CC"/>
        <u/>
      </rPr>
      <t>Instagram</t>
    </r>
  </si>
  <si>
    <t>2:03</t>
  </si>
  <si>
    <t>Nada que me recuerde más a la tierra de mi familia que la chepacorina. En honor a su creadora, Josefa 'Chepa' Corina, ¡deseo que todos podamos desayunarla con un café todos los días!
Probemos y disfrutemos los sabores de nuestra tierra. ¡Gracias Carmen de Bolívar!</t>
  </si>
  <si>
    <t>Son riquísimassss! Migue sigue mostrándonos más de la riqueza gastronómica en Bolivarr
14 sem2 Me gustaResponder
Buenisimo se ve 🙌
14 sem1 Me gustaResponder
El Carmen te recibe con los brazos abiertos y con la famosa CH.🔥👏
14 sem1 Me gustaResponder
DEMASIADO ESPECTACULAR ❤️
14 sem1 Me gustaResponder
😍😍😍 LAS MEJORES
14 sem1 Me gustaResponder
Se ve super rico 🤤😍
14 sem1 Me gustaResponder
Contenido de valor! ❤️
14 sem2 Me gustaResponder
Uffffff que delicia 😋
14 sem1 Me gustaResponder
👏👏👏🔥🔥🔥
14 sem2 Me gustaResponder
Arajo migue, donde es? Me provocaste..
14 sem1 Me gustaResponder
Te amo
14 sem1 Me gustaResponder
Esa chepacorina es historia y cultura pura del Carmen de Bolívar, acompañada de un tintico uff el matrimonio perfecto !
14 sem1 Me gustaResponder
Yo quiero de ese pannnn FULL QUESOOO 🤤 🧀
14 sem3 Me gustaResponder
Da se ve buenisimo
14 sem1 Me gustaResponder
Vainaaa linda😍😍😍
14 sem1 Me gustaResponder
Daaaaaa Estoy babeando con la chepacorina y el café 🤤
14 sem1 Me gustaResponder
Que llegue un paquetico compa, extraaa con un tintico y ese pa sito de queso se ve bueno bueno....
14 sem1 Me gustaResponder
erdsaaaaaaaaaa
14 sem1 Me gustaResponder
Este reel tiene 8 comentarios de Facebook.</t>
  </si>
  <si>
    <r>
      <rPr>
        <color rgb="FF1155CC"/>
        <u/>
      </rPr>
      <t>Instagram</t>
    </r>
  </si>
  <si>
    <t xml:space="preserve">Yo también vi como un castigo las lecturas obligatorias que me impusieron en el colegio. Y me pregunté, ¿de qué sirve leer esto? 😪🫣
No sabía de qué formas la lectura puede enriquecer mi comprensión e interpretación del mundo, forjarme un pensamiento crítico no susceptible a tendencias y facilitarme una comunicación clara y precisa.
Tenemos que aprender a amar la lectura sin imposiciones. Una vez adquirimos el hábito, los límites se disipan en el horizonte.
</t>
  </si>
  <si>
    <t>Excelente, enamorada de cada contenido...👏👏👏👏💯
14 sem2 Me gustaResponder
Excelente, esto debería llegar a todas partes.
14 sem1 Me gustaResponder
Me identifico 🫠, excelente contenido🔝👏
14 sem1 Me gustaResponder
👏👏
12 sem1 Me gustaResponder
de acuerdo 100%!!!
14 sem1 Me gustaResponder
Confundida me tenían , era terrible 😢
¡ No había ni secuencia en las lecturas ! Gracias a Dios esa etapa acabó 😂
14 sem1 Me gustaResponder
Felicitaciones adelante que con la ayuda de Dios Al ansarás las Metas que tu quieras
14 semResponder
👏👏👏🙌🙌
14 sem1 Me gustaResponder
👏🏼👏🏼👏🏼👏🏼👏🏼
14 sem1 Me gustaResponder
👏👏👏👏👏
14 sem1 Me gustaResponder
Ufff!! Que tremenda reflexion. Si para mi fue tetrico leer ese tipo de libros , no me imagino para los de las nuevas generaciones que están acostumbrados a scrollear
14 sem1 Me gustaResponder
Migue has una encuesta à la juventud acerca de el libro el@principito y los mas facile de Gabriel Garcia Marquez y te aseguro que no TIENEN idea , este medio en el@cual te estas manifestando nos estas Eduacando ….Bendiciones 🙏👍
14 semResponder
Mi tia Juana me puso a leer el@espectador Diario #y todos los Libros en mi tiempo de Gabriel Garcia Marquez como el@coronel no tiene Quien le escriba y no obstante teniamos que exponer a el Frente de la clase lo que aprendiste de ese libro , raro que la juventud sepa ahora en ESTOS TIEMPOS Quien es Gabriel Garcias Marques , Isabel Allendende etc,etc
14 semResponder
👏👏👏👏
14 sem1 Me gustaResponder
Yo definitivamente solo leo lo que me llama la atención, la curiosidad y me lleva a seguir investigando.
14 sem1 Me gustaResponder
TOTALMENTE !!!!
14 sem1 Me gustaResponder
LEER LO QUE NOS GUSTA ES ESENCIAL PARA AMAR LA LITERATURA!!!!😍
Por eso es que hay gente que dice: “ay no me gusta leer” ESO ES MENTIRA!!
Lo que pasa es que no has encontrado un libro que te APASIONE y te haga leer con ahínco.🤩
Leer algo que no te gusta es perder el tiempo. Si no te gusta lo que lees, deja ese libro y vete a otro hasta que encuentres lo que amas y ahí no pararásssss te lo prometo!!!!🥺
La vida es muy corta para leer algo que no nos gusta y hay muchos libros en este mundoooo!!!🥰
14 sem2 Me gustaResponder
👏👏👏👏👏👏
14 sem1 Me gustaResponder
Super espectacular
14 sem1 Me gustaResponder
Anteriormente leer era una obligación, un tabú, hoy en día hay que hacer que la lectura sea una experiencia de disfrute y no de obligación.
14 sem1 Me gustaResponder
👏👏👏👏
14 sem1 Me gustaResponder
Congresista el sistema americano y supongo q en Europa también, la lectura a temprana edad se privilegia y se premia, tu sobrina de corazón hija de wilson Orlando, Rebecca de 10 años en 4o de elementary acaba de recibir una distinción por haber leído más de 2.500 palabras en los dos primeros meses de año lectivo, no es difícil es como dices la actitud del sistema educativo y no necesariamente una disputa entre el socialismo y el capitalismo, cuando comenzó la revolución cubana fidel se ufanaba de haber reducido el analfabetismo a 0 hoy los venezolanos solo acuden a a las aulas dos días, excelente tema y mejor aporte vamos pa esa
14 sem1 Me gustaResponder</t>
  </si>
  <si>
    <r>
      <rPr>
        <color rgb="FF1155CC"/>
        <u/>
      </rPr>
      <t>Instagram</t>
    </r>
  </si>
  <si>
    <t>1:24</t>
  </si>
  <si>
    <t>¡HOY ES DOMINGO! El que no conozca esta parada obligatoria de los viajeros que atraviesan los Montes de María, ¡está quedao'! 🐖🤤
Siempre me ha gustado cocinar y la sensación que le producimos a nuestros seres queridos cuando los alimentamos. Celebremos el buen comer y apoyemos a los que mantienen viva nuestra cultura gastronómica.
Si no conoces este sitio, ¿a qué esperas? Ya me robé la receta del picantico. 😏</t>
  </si>
  <si>
    <t>Ese es el picante bueno! Con huevo cocido y ají chivato ! Amo!
14 sem1 Me gustaResponder
Jajjajaja, la mejor experiencia. Comida y conocimiento ❤️🙌
14 sem1 Me gustaResponder
👏👏👏😍...el mejor machucaoo'😍🤤
14 sem1 Me gustaResponder
Se ven buenísimos
14 sem1 Me gustaResponder
Que ricooo, sin duda son los mejores chicharrones de Bolivar
14 sem2 Me gustaResponder
🔥🔥🔥🔥🙌🙌🙌
14 sem1 Me gustaResponder
l👏👏👏
14 sem1 Me gustaResponder
Un clásico! 🔥
14 sem1 Me gustaResponder
👏👏👏👏👏👏👏
14 sem1 Me gustaResponder
El picantico uffff 🤤
14 sem1 Me gustaResponder
👏👏👏
14 sem2 Me gustaResponder
@miguemontes1 Aquí presente tu fanaticada de María la baja💪🏼
14 sem2 Me gustaResponder
👏👏👏
14 sem1 Me gustaResponder
Buena esa Migue
14 semResponder
Deliciaaaa 😋
14 sem1 Me gustaResponder
Por favor necesito el picante en casaaaaaaaaaaaaaa
14 sem1 Me gustaResponder
Contenido de calidad @juandespinosa12 @miguemontes1 🤌🏼🤌🏼🤌🏼
14 sem1 Me gustaResponder
¡Para obligatoria!
14 sem1 Me gustaResponder
El machucao de ají chivato 😍🙌
14 sem5 Me gustaResponder
Me dio hambre
14 semResponder
@miguemontes1 me vas a enseñar ese grito del gato después de comerte la yuca 😂
14 sem1 Me gustaResponder
Firme desde clemencia Bolívar
14 sem2 Me gustaResponder
Firme pa ver si engordamos a Juan David
14 sem1 Me gustaResponder
Los mejores
14 sem1 Me gustaResponder
Ese es el moja mijo.
14 sem1 Me gustaResponder
AYYYYY QUE DELICIAAAAAAAA😍
14 sem1 Me gustaResponder
Pa las que sea y con todo
14 sem2 Me gustaResponder
Miguel’s tu de eso sabe!! Tu eres un duro en cocina!!
13 sem1 Me gustaResponder
🫠
14 sem1 Me gustaResponder
Parada ultra obligatoria
14 sem2 Me gustaResponder
¡Parada obligatoria!
14 sem1 Me gustaResponder</t>
  </si>
  <si>
    <r>
      <rPr>
        <color rgb="FF1155CC"/>
        <u/>
      </rPr>
      <t>Instagram</t>
    </r>
  </si>
  <si>
    <t>1:03</t>
  </si>
  <si>
    <t>El BOOM latinoamericano se convirtió en uno de los mayores estallidos culturales del siglo XX para nuestra Ñamérica. 💥🤯
Antes de la televisión a color, ya García Márquez era un fenómeno internacional de la literatura. Las ventas de su libro superan los 50 millones de ejemplares, y en cada uno de esos libros hay un retrato de nuestra cultura que debemos atesorar.
Si no la has leído, ¿a qué esperas?</t>
  </si>
  <si>
    <t>Excelente exposición... Definitivamente la educación siempre marcará la diferencia... 🔥🙌👏
15 sem3 Me gustaResponder
👏👏👏 saber de cultura nos enriquece el alma ❤️❤️ super migue
15 semResponder
Excelente contenido.. 🙌
15 sem3 Me gustaResponder
Top este contenido 👏
15 sem1 Me gustaResponder
Eres super excelente 👌
15 sem1 Me gustaResponder
ASÍ ES !!!!!!!!!’ 👏👏👏👏👏
15 semResponder
👏👏 Este video me transmitió una energía increíble, me dejó reflexionando y con mucha inspiración. Gracias por compartir algo tan auténtico.
15 sem3 Me gustaResponder
AMAMOS!!!!! Gracias gracias por contarnos ésto!!!🔥🙌🔥
15 sem4 Me gustaResponder
Excelente analogía.👏👏👏❤️
14 sem1 Me gustaResponder
Contenido champán! 🥂
15 sem2 Me gustaResponder
Me acabas de dar una mejor respuesta porque Cuando me dicen que Colombia con la serie de narcos me dan ganas es de decirles otra cosa 😂😂
15 sem4 Me gustaResponder
Súper!! Y después de todo porque noquearon a Gabo ombe?
15 sem2 Me gustaResponder
❤️🔥🔥🙌🙌
15 sem1 Me gustaResponder
Muyyy fan de tiii🙌🏼🫶🏻🔥
15 sem2 Me gustaResponder
fascinante esta historia: la iliquidez de Gabo para respaldar su obra pudo haberle complicado el camino, pero aquello que estaba destinado a perdurar no conoció barreras. Detrás de Cien años de soledad hubo riesgo y sacrificio, pero también el arte, el enfoque y la inigualable brillantez de nuestro más grande representante literario.
15 sem3 Me gustaResponder
👏👏👏👏❤️
15 sem2 Me gustaResponder
Contenido con sentido !!!!
15 sem3 Me gustaResponder
👏👏👏👏
15 sem2 Me gustaResponder
👏👏👏👏
15 sem2 Me gustaResponder
❤️
15 sem1 Me gustaResponder
👏👏
15 sem2 Me gustaResponder
👏👏👏👏👏👏👏
15 sem1 Me gustaResponder
👏👏👏
15 sem2 Me gustaResponder
@marithearap
15 sem1 Me gustaResponder</t>
  </si>
  <si>
    <r>
      <rPr>
        <color rgb="FF1155CC"/>
        <u/>
      </rPr>
      <t>Instagram</t>
    </r>
  </si>
  <si>
    <t>1:15</t>
  </si>
  <si>
    <t>¿Nunca te preguntaste por qué en el colegio nos enseñaron sobre el DESCUBRIMIENTO de América? 😒🌎
A pesar de que fueron arrasadas sistemáticamente, las civilizaciones precolombinas realizaron verdaderos descubrimientos con un nivel mucho menor de tecnificación.
El relato del descubrimiento sirvió para justificar la apropiación de un continente. Y si nunca lo cuestionaste, ¿dudas del poder del lenguaje?
¿Y tú, descubriste América en un vaso de agua?</t>
  </si>
  <si>
    <t>Concuerdo con esto.
12 sem1 Me gustaResponder
Totalmente cierto👏👏🤯
12 sem1 Me gustaResponder
Una mente despierta, place escucharla.🙌
14 semResponder
Nos conquistaron con violencia, nos educaron con mentiras… y seguimos aplaudiendo. 😢
12 sem2 Me gustaResponder
Necesitamos un podcast por favor 🙏🏼🤍
16 sem3 Me gustaResponder
Así mismo e’!
16 sem1 Me gustaResponder
Nos robaron , nos enganaron 😢 y Todavia lo CELEBRAMOS 🤷🏽‍♀️😱😱😱
16 sem2 Me gustaResponder
🙌🙌🙌
16 sem1 Me gustaResponder
👏👏👏👏
16 sem1 Me gustaResponder
👏👏👏👏👏👏
16 sem1 Me gustaResponder
👌🏽
16 sem1 Me gustaResponder
Cuanta razón!!
16 sem1 Me gustaResponder
Aca solo hubo un choque de culturas donde una sometió a la otra .
16 sem3 Me gustaResponder
Se tenía que decir!!!
16 sem1 Me gustaResponder
Buena ilustración, pero eso como se lo metemos en la cabeza a las mentes feudalistas y arribistas que nos han gobernado por más de 200 años, que no han hecho otra cosa que terminar de arrasar lo poco o mucho que dejaron “los descubridores”
16 sem1 Me gustaResponder
Huele a mamerto aquí
8 semResponder</t>
  </si>
  <si>
    <r>
      <rPr>
        <color rgb="FF1155CC"/>
        <u/>
      </rPr>
      <t>Instagram</t>
    </r>
  </si>
  <si>
    <t>1:01</t>
  </si>
  <si>
    <t>Aprendamos a valorar el inmenso y rico mestizaje de etnias que nos hicieron tal y como somos. 🌎
Decir que los europeos trajeron la civilización a América sería cuestionable, por no decir problemático. Los invito a indagar sobre ese pasado complejo que las sociedades precolombinas cultivaron por miles de años.</t>
  </si>
  <si>
    <t>¡¡Mi candidato!! 😍😍
17 sem2 Me gustaResponder
Amando este contenido❤️
17 sem1 Me gustaResponder
Excelente contenido
17 sem1 Me gustaResponder
Quieeroooo más videos 😍👏
17 sem1 Me gustaResponder
Videos que enseñan full, esto si es contenido de calidad ❤️🙌🔥
17 sem1 Me gustaResponder
Que buena información!
17 sem1 Me gustaResponder
Notas enriquecidas de cultura y entretenimiento👏👏
17 sem1 Me gustaResponder
👏👏👏👏👏 buenas notas 📝 estás haciendo ❤️
17 sem1 Me gustaResponder
Por fin… Información enriquecida de cultura.”…👏🏻👏🏻
17 sem1 Me gustaResponder
👏👏👏👏
17 sem1 Me gustaResponder
👏👏
17 sem1 Me gustaResponder
Firme mi llaveee 👏👏
17 sem1 Me gustaResponder
👏👏👏💯
17 sem1 Me gustaResponder
👏👏👏👏👏
17 sem1 Me gustaResponder
👏👏👏
17 sem2 Me gustaResponder
Gracias por recordarnos que somos hijos de esa civilización INCREÍBLE que quisieron borrar✨🌞
17 sem5 Me gustaResponder
🙌👏👏
17 sem2 Me gustaResponder
Que google ni que chatgpt 🔥🔥
17 sem1 Me gustaResponder
🙌🙌🙌
17 sem2 Me gustaResponder
Acá no hubo ningún descubrimiento solo fue un choque de culturas en donde una sometió a la otra 😢
17 sem1 Me gustaResponder
👏👏👏
17 sem2 Me gustaResponder
Yo me los imagino como @wiliam.montesl 😂 👻
17 sem2 Me gustaResponder</t>
  </si>
  <si>
    <r>
      <rPr>
        <color rgb="FF1155CC"/>
        <u/>
      </rPr>
      <t>Instagram</t>
    </r>
  </si>
  <si>
    <t>OJO! Sin paz interior, equilibrio mental y felicidad personal seríamos incapaces de funcionar como colectividad. 🤯🧘‍♂️
Pero que la individualización promovida por el mercado de la felicidad no nos impida ejercer nuestra ciudadanía y participar activamente en la sociedad. 💡</t>
  </si>
  <si>
    <t>Excelente mensaje migue 🔥🙌❤️
18 sem1 Me gustaResponder
Excelente mensaje @miguemontes1 🔥🙌🙌
8 sem1 Me gustaResponder
🙌🙌 de acuerdo.
18 sem1 Me gustaResponder
SE PUEDE DECIR MÁS ALTO PERO NO MÁS CLARO!!!!!🔥🔥🔥🔥🔥😍
18 sem2 Me gustaResponder
Totalmente de acuerdo 🙌
18 sem1 Me gustaResponder
Me encanta este mensaje 🕊️
18 sem1 Me gustaResponder
👏👏👏👏❤️
18 sem1 Me gustaResponder
🔥🔥🔥😍😍😍
18 sem1 Me gustaResponder
grande 👏
18 sem1 Me gustaResponder
❤️🙌❤️❤️🙌
18 sem1 Me gustaResponder
🙌🙌
18 sem1 Me gustaResponder
👏👏
18 sem1 Me gustaResponder
👏👏👏
18 sem2 Me gustaResponder
La felicidad no elimina el caos , pero te da la fuerza para teansformarlo !
18 sem1 Me gustaResponder
Excelente mensaje
18 sem1 Me gustaResponder
👏👏👏 genial
18 sem1 Me gustaResponder
👏👏👏👏👏
18 sem1 Me gustaResponder
👏👏👏👏
18 sem1 Me gustaResponder
👏👏🏻
18 semResponder
Muy cierto Miguel. No podemos irnos Ni a un extremo ni a otro extremo. Debemos tener un equilibrio en todas nuestras areas
18 sem2 Me gustaResponder
Me alegra que hoy hayas aprendido todo lo que mi @javierroyocuri te ha enseñado @miguemontes1
18 sem1 Me gustaResponder
👏👏👏
18 sem1 Me gustaResponder
👏👏
18 sem1 Me gustaResponder
👏👏👏👏👏👏
18 sem1 Me gustaResponder
🔥🔥
18 sem1 Me gustaResponder
👏👏👏
18 sem1 Me gustaResponder
Puedes poner este video en tik tok?
18 sem2 Me gustaResponder
👏👏
18 sem1 Me gustaResponder
Un tiro al blanco 🎯 trae este contenido.
18 sem1 Me gustaResponder
Mi Lord!🙌
18 sem1 Me gustaResponder
Mejor no podías haber hablado
18 sem1 Me gustaResponder
La industria de la felicidad es igual a la iglesia solo cambian el producto de lo que venden para idiotizar a las personas 😂
18 sem2 Me gustaResponder
😂
17 sem1 Me gustaResponder
✊
17 sem1 Me gustaResponder
Muy buen análisis ante el boom de Coah, y demás influencer que creen que los problemas de las personas en un mundo lleno de incertidumbre se resuelven con pócimas mágicas
18 sem1 Me gustaResponder
Real
18 sem1 Me gustaResponder</t>
  </si>
  <si>
    <r>
      <rPr>
        <color rgb="FF1155CC"/>
        <u/>
      </rPr>
      <t>Instagram</t>
    </r>
  </si>
  <si>
    <t>1:13</t>
  </si>
  <si>
    <t>¡NO DEJEMOS DE CREER EN LA FICCIÓN! 📖📺
Las narrativas sobre totalitarismos, zombis, guerras intergalácticas o máquinas que amenazan a la humanidad esconden una reflexión profunda sobre lo que nos depara el futuro.
Piensa que estas historias, cuando fueron escritas, sonaban imposibles. Ahora, las sentimos cada vez más cerca.</t>
  </si>
  <si>
    <t>La forma en que explicas todo es increíble.
Esta es la información que el mundo necesita, aprender y educar!🙏🏼✨
19 sem2 Me gustaResponder
Super interesante 👏👏👏💯
19 sem1 Me gustaResponder
“La ficción nos revela los riesgos que acechan en el presente; pero también abre la posibilidad de reinventar el futuro con esperanza y decisión.”🔥👏
19 sem2 Me gustaResponder
@jeniffer1248 Por supuesto, así como imaginamos distopías, tenemos que empezar a imaginar utopías porque incluso en las historias más sencillas nos cuesta imaginar un final feliz.
19 sem2 Me gustaResponder
Un verdadero sabio de las letras 🙏
19 sem1 Me gustaResponder
😍😍😍
18 semResponder
El poder controla las mentes 🔥🔥
19 sem1 Me gustaResponder
👏🏼👏🏼👌🏽
19 sem1 Me gustaResponder
👏👏👏
19 sem1 Me gustaResponder
La ficción siempre nos prepara para la realidad 👌🏻
19 sem1 Me gustaResponder
🙌🙌🙌
19 sem1 Me gustaResponder
👏👏👏
19 sem1 Me gustaResponder
miguel nunca habia visto algo asi, es excelente lo que haces. Me gustaría hablar contigo pero instagram no me deja enviarte mensajes, ¿me podrias enviar un mensajito tu? 💪🏽
19 sem1 Me gustaResponder
@valentina.blason Hola! Claro que sí, gracias mil!
19 semResponder
La distopia refleja nuestros miedos ✍🏻
19 sem2 Me gustaResponder
👏👏
19 sem1 Me gustaResponder
Los libros de Margareth Atwood que inspiraron la serie del Cuento de la Criada son tenebrosos porque retrata situaciones actuales, que las desconocemos, pero que son solo el reflejo de mirarnos como sociedad en el espejo como dices tú
19 sem5 Me gustaResponder
@angierhodas Sí! Y destruye el estereotipo de que solo hombres escriben ciencia ficción. Obvio no leyeron a Shelley, Atwood ni a Le Guin. Gracias por ver y comentar!
19 sem4 Me gustaResponder
Necesitamos más mentes como las tuyas, Revolutionarias 💪🏼👏🏼
14 semResponder
Buen material!!!
19 sem1 Me gustaResponder
Excelente material!!!!
19 sem1 Me gustaResponder
🚀
19 sem1 Me gustaResponder
🙌🙌🙌
19 semResponder
Este reel tiene 4 comentarios de Facebook.</t>
  </si>
  <si>
    <r>
      <rPr>
        <color rgb="FF1155CC"/>
        <u/>
      </rPr>
      <t>Instagram</t>
    </r>
  </si>
  <si>
    <t>Verte haciendo contenido es lo mejor de este año! 😍
20 sem3 Me gustaResponder
Excelente mi representante intestinal académico y lo mejor excelente ser humano
18 sem1 Me gustaResponder
Ay no yo te amoooo🤍🤍🤍
18 sem1 Me gustaResponder
Me encantó!! 👏👏
20 sem1 Me gustaResponder
Tremendooooo y Fuji un HIT! 🔥
20 sem1 Me gustaResponder
Me encanta 👏👏
20 sem1 Me gustaResponder
Este contenido me encanta
20 sem1 Me gustaResponder
Excelente migueee 🙌
19 sem1 Me gustaResponder
@miguemontes1 lo mejor del video es el perro 😍 saludos migue un abrazo
20 sem2 Me gustaResponder
👏👏
12 sem1 Me gustaResponder
Gracias por hablarnos de la forma más primitiva en la que pudimos transmitir el conocimiento. Antes de cualquier letra, signo o pintura, la comunicación verbal fue nuestra herramienta, y a día de hoy seguimos con ritmos pegajosos, yo me se el ciclo de krebs por una canción.😂
Los amo, son el mejor equipo🤍 @fujithedoxie
19 sem5 Me gustaResponder
¡Aquí «perreamos» todos!🐶🔥😎😂
20 sem6 Me gustaResponder
Excelente 🙌
20 sem1 Me gustaResponder
👏👏👏👏👏
18 sem1 Me gustaResponder
Por eso todo lo que converso lo saco en verso 😂🙌👏.
20 sem2 Me gustaResponder
👏👏👏👏
20 sem1 Me gustaResponder
👏🔥
20 sem1 Me gustaResponder
❤️❤️❤️
20 sem1 Me gustaResponder
👏👏👏👏🔥
20 sem1 Me gustaResponder
Super👏👏👏👏
20 sem1 Me gustaResponder
Más colab con Fuji
20 sem6 Me gustaResponder
@majodeltoro_ estoy de acuerdo!😎
20 sem2 Me gustaResponder
👏👏👏👏
20 sem3 Me gustaResponder
@andrescabarcas26 🚀
20 sem2 Me gustaResponder
Con fuji un 100 de 10..😂👏
20 sem1 Me gustaResponder
👏👏👏👏❤️❤️❤️
20 sem1 Me gustaResponder
👏👏👏👏👏👏👏👏👏
20 sem2 Me gustaResponder
👏👏👏👏👏
20 sem1 Me gustaResponder
Goku en la casa 😂
20 sem1 Me gustaResponder
Fujiii❤️
20 sem1 Me gustaResponder
Un final épico 😂
20 sem1 Me gustaResponder
Tal cual sobri 👏
20 sem1 Me gustaResponder
Uff🔥🔥
20 sem1 Me gustaResponder
Intelectual corrijo
18 sem1 Me gustaResponder
👏👏👏👏
20 sem1 Me gustaResponder
👏👏👏👏
19 sem1 Me gustaResponder
🔥🔥🔥 perreo but make it nerdy
20 sem5 Me gustaResponder
@mariacuri23 guau😎
20 sem3 Me gustaResponder
@mariacuri23 Jaaaaaa
20 sem2 Me gustaResponder
🙌🙌👏👏❤️
20 sem1 Me gustaResponder
@fujithedoxie 😍😍😍
20 sem1 Me gustaResponder
Jajjaja fujiiiiii ❤️ 💪🏼
20 sem3 Me gustaResponder
Bad bunny le metía más que mi profesor de sociales ☝️
20 sem1 Me gustaResponder
Total
20 sem1 Me gustaResponder
Crack 👏
20 sem2 Me gustaResponder
👏
20 sem1 Me gustaResponder
👍🏻👍🏻
20 sem1 Me gustaResponder
👏🏻👏🏻👏🏻👏🏻👏🏻
20 sem1 Me gustaResponder
Buenísimo! 👏
20 sem1 Me gustaResponder
❤️❤️❤️❤️❤️👏👏👏
20 sem1 Me gustaResponder
👏👏👏
20 sem1 Me gustaResponder
Te adoro tantoooooo❤️❤️❤️❤️
20 sem1 Me gustaResponder
👏👏👏👏
20 sem1 Me gustaResponder
👏👏👏
20 sem1 Me gustaResponder
👏👏
20 sem1 Me gustaResponder
Fujiiii
20 semResponder
❤️❤️❤️❤️❤️❤️❤️
20 semResponder
Este reel tiene 3 comentarios de Facebook.</t>
  </si>
  <si>
    <t>La memoria no es inherente a la escritura. Antes de los libros, tuvimos que conservar el conocimiento a punta de poemas y canciones. 🎼🎶🎸🥁🪉🪗🎤🤘
Nunca desestimemos el poder transformador de la música: una canción nos quita el despecho, nos aviva el alma, nos produce nostalgia.
Pero también debe cultivar nuestro pensamiento crítico y catalizar nuestra inspiración. Como todo arte, a veces tiene que incomodarnos. 🧠
Con la colaboración especial de @fujithedoxie ❤️</t>
  </si>
  <si>
    <r>
      <rPr>
        <color rgb="FF1155CC"/>
        <u/>
      </rPr>
      <t>Instagram</t>
    </r>
  </si>
  <si>
    <t>¡Cada vez que trabajes en Excel deberías darle las gracias a los sumerios! 📊
En la inmensa historia de la humanidad la escritura es relativamente reciente. Y cuando la escritura revolucionó al mundo, las civilizaciones que mantuvieron la oralidad sufrieron la amenaza del olvido.
Ahora, las tecnologías actuales presentan el mismo dilema:
¿Ignoramos, contenemos o nos adaptamos? 🤔</t>
  </si>
  <si>
    <t>Adaptarnos sin perder lo esencial.👌🏽
20 sem1 Me gustaResponder
Adaptarse o morir. No es más 👏👏👏
20 sem1 Me gustaResponder
Esta historia es TAN BONITA!!!
Gracias por traerla a nosotros!!!
Decartes estaría orgulloso de esa frase🥸💅🏼
20 sem1 Me gustaResponder
🙌🙌🙌
20 sem1 Me gustaResponder
👏👏👏👏❤️
20 sem1 Me gustaResponder
La imaginación no tiene límites.
20 sem1 Me gustaResponder
🙌🔥🔥🔥
20 sem1 Me gustaResponder
👏
20 sem1 Me gustaResponder
👏👏
20 sem1 Me gustaResponder
👏👏👏
20 sem1 Me gustaResponder
🙌🙌🙌🔥👏
20 sem1 Me gustaResponder
Me surge una inquietud:
1. Crees en Dios?
2. Qué opinas del spanglish? Es incorrecto? Solo hay que dejarlo ser? Es una forma más fácil de comunicarse? Lo rechazas? @walomeca @miguemontes1
14 sem1 Me gustaResponder
@camilabustamante88 fueron varias inquietudes 😂
14 sem1 Me gustaResponder
@camilabustamante88 Hola! Sí, claro. Tanta perfección en la naturaleza requiere de una arquitectura. Y en cuanto a la convergencia de idiomas, mientras se practique no es incorrecto. Lenguajes como el portugués nacieron de la mezcla de otros lenguajes antiguos.
14 semResponder
🙌🙌🙌
20 sem1 Me gustaResponder
👏👏👏🙌
20 sem1 Me gustaResponder
👏👏🙌
20 sem1 Me gustaResponder
👏👏👏👏👏👏
20 sem1 Me gustaResponder
🙌
20 sem1 Me gustaResponder
👏👏👏
20 sem1 Me gustaResponder
🔥🙌🙌👏
20 sem1 Me gustaResponder
👏👏👏
20 sem1 Me gustaResponder
👏🏻👏🏻
20 sem1 Me gustaResponder
👏
20 sem1 Me gustaResponder
🙌
20 sem1 Me gustaResponder
Gracias amigos sumerios📝
20 sem2 Me gustaResponder
👏👏👏👏👏excelente !
20 sem1 Me gustaResponder
🙌🙌🙌🙌
20 sem1 Me gustaResponder
👏👏👏👏
19 sem1 Me gustaResponder
Desde los más sencillo se crean las complejidades
20 sem1 Me gustaResponder
Este reel tiene 3 comentarios de Facebook.</t>
  </si>
  <si>
    <r>
      <rPr>
        <color rgb="FF1155CC"/>
        <u/>
      </rPr>
      <t>Instagram</t>
    </r>
  </si>
  <si>
    <t>0:52</t>
  </si>
  <si>
    <t>¿Cada vez que piensas en tecnología imaginas un avión, un iPhone, un robot? ✈️📱🤖
Las olas siempre han existido; aquellos descubrimientos e invenciones fueron asimilados por la humanidad hasta convertirse en parte de nosotros. Pero en su momento fueron rarezas vistas con ojos incrédulos.
Tenemos que aprender a navegar cada tecnología de uso general, como la IA o la biología sintética, porque estos fenómenos modifican la forma en que interactuamos con el mundo.
#conocimiento #historia #CulturaGeneral #tecnología #lectura #educación</t>
  </si>
  <si>
    <t>Totalmente de acuerdo 👏👏👏
21 sem1 Me gustaResponder
amo este contenido !!
21 sem1 Me gustaResponder
@hanniabarbur19 y esto apenas empieza 🔥
21 sem1 Me gustaResponder
Totalmente, aceptar el cambio es dar un paso hacia la evolución. 🙌🏽🙌🏽🙌🏽
21 sem2 Me gustaResponder
Totalmente de acuerdo👏👏Dios te de mucha sabiduría y sigue avnazando👏👏👌👌
21 sem1 Me gustaResponder
Eres brillante!🙌
21 sem2 Me gustaResponder
Una manera sabia de saber nadar con ella🙌🙌🙌
21 sem2 Me gustaResponder
@natynajeraf La sabiduría esta en fluir 👏
21 sem2 Me gustaResponder
Cada invento revela más de nuestra esencia que de nuestra ciencia. 🤖
12 sem1 Me gustaResponder
👏👏👏👏
21 sem1 Me gustaResponder
👏👏👏
21 sem1 Me gustaResponder
🙌🙌
21 sem1 Me gustaResponder
👏👏👏
21 sem1 Me gustaResponder
Cuánta razón tienes 👏
21 sem1 Me gustaResponder
👏🏼👏🏼👌🏼👌🏼
21 sem1 Me gustaResponder
👏👏👏
21 sem1 Me gustaResponder
👏👏👏
21 sem1 Me gustaResponder
👏
21 sem1 Me gustaResponder
Espectacular....👏👏👏🙌
21 sem1 Me gustaResponder
👏👏
21 sem1 Me gustaResponder
👏👏👏👏
21 sem1 Me gustaResponder
Tú lo has dicho: el que no nada se ahoga 🌊🏄🏽‍♂️
21 sem2 Me gustaResponder
@alejandrocordero44 y cuéntame ¿Vas a nadar o te vas a dejar llevar ? 🔥
21 sem1 Me gustaResponder
Excelente sobri 👏👏
21 sem1 Me gustaResponder
Saberse adaptar al cambio es una más de nuestras virtudes. La evolución, que (sin restar el trauma conjunto tintado de miedo y aversión al «no conocido») a veces puede parecer un desastre, es nuestro verdadero milagro como sociedad🫶🏻🔥
21 sem4 Me gustaResponder
👏👏👏👏
21 sem1 Me gustaResponder
👏👏
21 sem1 Me gustaResponder
La historia de la vida demuestra que la adaptación es la clave de la supervivencia: así como las especies han aprendido a transformar sus hábitos y características para resistir en distintos entornos, el ser humano también debe adaptarse a los cambios sociales, culturales y tecnológicos que marcan la evolución de la humanidad. Quien entiende la importancia de la adaptación no solo sobrevive, sino que encuentra oportunidades en medio de la transformación.
21 sem4 Me gustaResponder
👏👏súper 👏👏
21 sem1 Me gustaResponder
Incrieble 👏👏👏
21 sem1 Me gustaResponder
🙌🙌🙌🙌
19 sem1 Me gustaResponder
🙌🙌
20 sem1 Me gustaResponder
🤯🤯🤯
21 sem1 Me gustaResponder
Excelente
20 sem1 Me gustaResponder
Excelente
20 semResponder
La ola de la inteligencia artificial ya está aquí. No intentemos detenerla: aprendamos a cabalgarla.
21 sem1 Me gustaResponder
@imlagreka ¡Total! El que aprende a nadar, avanza 🙌
21 sem2 Me gustaResponder
Crack🙌🏻
21 sem1 Me gustaResponder
Magikkkk
21 sem1 Me gustaResponder
Total! El que no nada se ahoga! More te ♥️
21 semResponder
Este reel tiene 7 comentarios de Facebook.</t>
  </si>
  <si>
    <r>
      <rPr>
        <color rgb="FF1155CC"/>
        <u/>
      </rPr>
      <t>Instagram</t>
    </r>
  </si>
  <si>
    <t>La especie humana conquistó el planeta a través de un sistema especial comunicación.
Hoy, en tiempos de mentiras, fanatismo y conspiraciones necesitamos la ficción más que nunca.
Y no se trata de ver películas de Marvel.
📖 Leer para empatizar con el otro.
⚖️ Leer para defender nuestros derechos.
📜 Leer para que la historia no se repita.
💻 Leer para no ser manipulados por la tecnología.
#LecturaEsPoder #EducacionParaTodos #ComunicaciónHumana #Ficción
#FilosofíaDeVida #Critica
#ConocimientoEsPoder #literatura #lingüística</t>
  </si>
  <si>
    <t>Que es esto tan toppp! Te amoo😍😍😍🌟🌟
21 sem3 Me gustaResponder
Totalmente de acuerdo.👏👏👏🥳
21 sem1 Me gustaResponder
grande mi papá 👏
21 sem1 Me gustaResponder
@djjac.official Gracias hermanazo!
21 sem2 Me gustaResponder
Y por qué nos estuvimos perdiendo de escucharte todo este tiempo?
21 sem5 Me gustaResponder
@karinkipke estoy matriculadooooo. Es muy difícil pero me encantó!
21 sem2 Me gustaResponder
Excelente que gran tema con sentido felicitaciones 👏 👏
21 sem2 Me gustaResponder
Así essss👏❤️❤️
21 sem2 Me gustaResponder
Love it! Que cierto esto 👏👏
21 sem1 Me gustaResponder
Gran contenido migue 👏🏻 personalmente espero por los menos uno por día 💪🏻
21 sem4 Me gustaResponder
Y precisamente hablando de comunicación; que buena manera de comunicar!! 👏👏👏
21 sem5 Me gustaResponder
Ya usted lo dijo! 👏
21 sem5 Me gustaResponder
Al fin alguien habla algo deservicio 🙌 con logica coherencia y la capacidad de razonar de forma clara y estructurada. en base a Lo q estamos viviendo gracias Migue quérido estoy orgullosa de ti 👏👏👏Dios te bendiga siempre
21 sem5 Me gustaResponder
Totalemente de acuerdo!👏🏾
21 sem1 Me gustaResponder
Muy bueno 👏🔥
21 sem1 Me gustaResponder
Qué importante resaltar el papel de la ficción como pilar en la construcción de la sociedad. No dejarnos llevar pero no dejarla de lado, tenemos la capacidad más bonita, gracias a la corteza prefrontal, parietal y occipital😂🤌🏻🙂‍↔️❤️🥹 y como no, a nuestros antepasados!
LOVE ITTT🔥
21 sem7 Me gustaResponder
Primo excelente reflexion, en definitiva hay que encontrar un balance. Y fortalecer mucho mas nuestro pensamiento critico en este mundo de desinformación
21 sem2 Me gustaResponder
Así es. Totalmente de acuerdo. 👏👏👏👏👏
21 sem2 Me gustaResponder
Divinooo. Te amo pa
21 sem1 Me gustaResponder
👏🔥
21 sem1 Me gustaResponder
Muy pro 🙌
21 sem1 Me gustaResponder
👏👏👏
21 sem2 Me gustaResponder
👏👏👏👏
21 sem1 Me gustaResponder
Cuanta razón, se tenía que decir y se dijo. ✅️👏
21 sem1 Me gustaResponder
👏👏👏👏
21 sem1 Me gustaResponder
👏🏼👏🏼
21 sem2 Me gustaResponder
Sigue subiendo este tipo de contenido, por favor. 👏🔥
21 sem3 Me gustaResponder
🙌🙌🙌🙌🙌
21 sem2 Me gustaResponder
👏👏❤️
21 sem1 Me gustaResponder
👏👏
21 sem1 Me gustaResponder
🔥👏👏👏
21 sem1 Me gustaResponder
Miguel: que agradable es escuchar razonamientos como el tuyo. Gracias por este contenido en medio de tanta fake news y etc…
21 sem5 Me gustaResponder
Que es esto tan toppp! Te amoo😍😍😍🌟🌟
21 sem3 Me gustaResponder
Totalmente de acuerdo.👏👏👏🥳
21 sem1 Me gustaResponder
grande mi papá 👏
21 sem1 Me gustaResponder
@djjac.official Gracias hermanazo!
21 sem2 Me gustaResponder
Y por qué nos estuvimos perdiendo de escucharte todo este tiempo?
21 sem5 Me gustaResponder
@karinkipke estoy matriculadooooo. Es muy difícil pero me encantó!
21 sem2 Me gustaResponder
Excelente que gran tema con sentido felicitaciones 👏 👏
21 sem2 Me gustaResponder
Así essss👏❤️❤️
21 sem2 Me gustaResponder
Love it! Que cierto esto 👏👏
21 sem1 Me gustaResponder
Gran contenido migue 👏🏻 personalmente espero por los menos uno por día 💪🏻
21 sem4 Me gustaResponder
Y precisamente hablando de comunicación; que buena manera de comunicar!! 👏👏👏
21 sem5 Me gustaResponder
Ya usted lo dijo! 👏
21 sem5 Me gustaResponder
Al fin alguien habla algo deservicio 🙌 con logica coherencia y la capacidad de razonar de forma clara y estructurada. en base a Lo q estamos viviendo gracias Migue quérido estoy orgullosa de ti 👏👏👏Dios te bendiga siempre
21 sem5 Me gustaResponder
Totalemente de acuerdo!👏🏾
21 sem1 Me gustaResponder
Muy bueno 👏🔥
21 sem1 Me gustaResponder
Qué importante resaltar el papel de la ficción como pilar en la construcción de la sociedad. No dejarnos llevar pero no dejarla de lado, tenemos la capacidad más bonita, gracias a la corteza prefrontal, parietal y occipital😂🤌🏻🙂‍↔️❤️🥹 y como no, a nuestros antepasados!
LOVE ITTT🔥
21 sem7 Me gustaResponder
Primo excelente reflexion, en definitiva hay que encontrar un balance. Y fortalecer mucho mas nuestro pensamiento critico en este mundo de desinformación
21 sem2 Me gustaResponder
Así es. Totalmente de acuerdo. 👏👏👏👏👏
21 sem2 Me gustaResponder
Divinooo. Te amo pa
21 sem1 Me gustaResponder
👏🔥
21 sem1 Me gustaResponder
Muy pro 🙌
21 sem1 Me gustaResponder
👏👏👏
21 sem2 Me gustaResponder
👏👏👏👏
21 sem1 Me gustaResponder
Cuanta razón, se tenía que decir y se dijo. ✅️👏
21 sem1 Me gustaResponder
👏👏👏👏
21 sem1 Me gustaResponder
👏🏼👏🏼
21 sem2 Me gustaResponder
Sigue subiendo este tipo de contenido, por favor. 👏🔥
21 sem3 Me gustaResponder
🙌🙌🙌🙌🙌
21 sem2 Me gustaResponder
👏👏❤️
21 sem1 Me gustaResponder
👏👏
21 sem1 Me gustaResponder
🔥👏👏👏
21 sem1 Me gustaResponder
Miguel: que agradable es escuchar razonamientos como el tuyo. Gracias por este contenido en medio de tanta fake news y etc…
21 sem5 Me gustaResponder
📕 🙌🙌
21 sem1 Me gustaResponder
🙌🙌🙌🙌🙌
21 sem1 Me gustaResponder
"Si todo es falso nadie reacciona ante lo verdadero"
21 sem6 Me gustaResponder
Excelente nota 👏🤗
21 sem1 Me gustaResponder
Importantísimo, para nuestra generación este tipo de contenido. Somos un país donde la desinformación está por encima de la realidad, necesitamos aprender a discernir.
21 sem4 Me gustaResponder
That's my cousin!!!
21 sem3 Me gustaResponder
Total 🙌
21 sem2 Me gustaResponder
Grandeza Doc🙏🙏🙏
19 sem1 Me gustaResponder
Ya tomé nota 📝
21 sem1 Me gustaResponder
Real👋👋
21 sem2 Me gustaResponder
👏🏽👏🏽
21 sem1 Me gustaResponder
😎😎😎
21 sem1 Me gustaResponder
Dame más 😍😍😍 ameeee!! Super contenido amigo 🤍🤍🤍🚀🚀🚀🚀
21 sem2 Me gustaResponder
👏🏼
21 sem1 Me gustaResponder
La comunicación en la gestión del conocimiento.
21 sem1 Me gustaResponder
Extraordinario Migue como siempre
21 sem1 Me gustaResponder
Excelente reflexión para tener en cuenta.. y no aceptar sin pruebas!!
21 sem1 Me gustaResponder
Yes sr 🙌
21 sem1 Me gustaResponder
🙌🙌
21 sem1 Me gustaResponder
Muy cierto👏🏻
21 sem1 Me gustaResponder
😍😍😍
21 sem1 Me gustaResponder
👏👏👏👏
21 sem1 Me gustaResponder
Excelente Migue 🙌
21 sem2 Me gustaResponder
🙌🙌🙌
21 sem2 Me gustaResponder
Que contenido 👏😍
21 sem2 Me gustaResponder
👏
21 sem1 Me gustaResponder
👏🙌
21 sem1 Me gustaResponder
🙌🙌🙌 bien dicho
21 sem2 Me gustaResponder
👏🔥
21 sem1 Me gustaResponder
👏👏👏👏
21 sem1 Me gustaResponder
Así es !!!
21 sem1 Me gustaResponder
🔥🔥🔥🙌
21 sem2 Me gustaResponder
🔥🔥🔥🔥
21 sem1 Me gustaResponder
Chévere reflexión Migue, saludos
21 sem1 Me gustaResponder
Este reel tiene 13 comentarios de Facebook.</t>
  </si>
  <si>
    <r>
      <rPr>
        <color rgb="FF1155CC"/>
        <u/>
      </rPr>
      <t>MigueMontesCuri (@miguemontescuri) | TikTok</t>
    </r>
  </si>
  <si>
    <t>Si viste las lecturas obligatorias del colegio como un castigo, no necesariamente fue tu culpa. 😰🫣
La lectura puede enriquecer nuestra comprensión del mundo, forjarnos un pensamiento crítico y facilitarnos una comunicación precisa.
¡Tenemos que aprender a amar la lectura sin imposiciones!
#lectura #educacion #culturageneral #entretenimiento #LecturaEsPoder</t>
  </si>
  <si>
    <t xml:space="preserve">A mí me hicieron leer es cantar del Mio como en 10º y yo apenas iba en la primer página, y no entendí nada me tocó buscar un resumen en Internet y hacer la tarea en base del resumen no enorgullezco pero era lo que había 🥲
2025-10-1
Responder
avatar
1
Karen García🎀
Cuando estaba en primaria me mandaban a leer obras que nunca le di importancia porque siempre nos mandaban hacer un trabajo como de 50 hojas. Cuando estaba en bachiller una docente nos motivo a leer novelas y luego haciamos mesas redondas para debates y desde ese momento me enamore de la lectura
2025-10-1
Responder
avatar
1
𝕎𝕚𝕟𝕥𝕖𝕣❄️
Me decían el lazarillo de tormes de tanto leer jajjaja
2025-10-1
Responder
avatar
1
Juan Plaza
Total
2025-10-2
Responder
avatar
1
miguelluna6105
Excelente
2025-10-17
Responder
avatar
1
miguelluna6105
saludos Miguel
2025-10-17
Responder
avatar
1
Claudia
Mi hijo de 12 años de séptimo grado la profesora le mandó los cuentos de Horacio Quiroga. El almohadon de plumas, El Hombre Muerto... y que cosa pa fea ni a mi que me gusta leer, entiendo esos cuentos de relatos oscuros. Tantos cuentos lindos cómo, doce cuentos peregrinos y viene la profesora a mandar esos cuentos feos 🙄🙄
2025-10-1
Responder
</t>
  </si>
  <si>
    <r>
      <rPr>
        <color rgb="FF1155CC"/>
        <u/>
      </rPr>
      <t>MigueMontesCuri (@miguemontescuri) | TikTok</t>
    </r>
  </si>
  <si>
    <t>Un espacio donde las voces jóvenes cuentan. Diálogos e ideas libres. #jovenes #miguelmontescuri #C105 #Dialogo #fyp</t>
  </si>
  <si>
    <t>templario
los jóvenes son el futuro
Hace 1 d
Responder
0
Jhoel
Porky presidente 2026
Hace 1 d
Responder
0
alexmiguelduart14
Y HAY GENTE QUE CREE ESTE CUENTO...? DE LIBERTAR CON POLITICA JAJA</t>
  </si>
  <si>
    <t>https://www.facebook.com/share/r/16wGWWt5Rp/</t>
  </si>
  <si>
    <t>El deporte no es solo competencia.
Es encuentro, es comunidad, es disciplina y oportunidad. ⚾🤝
Cuando apoyamos el deporte cartagenero y bolivarense,
invertimos en salud, en valores, en cultura y en futuro.
Hoy jugamos, conversamos y compartimos una certeza:
Bolívar necesita más escenarios, más apoyo y mejor infraestructura deportiva.
Porque aquí hay talento.
Y el talento también merece condiciones dignas. 🏟️🔥
#DeporteEsFuturo #BolívarDeporte #Cartagena #InfraestructuraDeportiva #Juventud Barrio Comunidad C105 Ver menos</t>
  </si>
  <si>
    <t>Fran Murillo
Desde el #universosocial apoyamos a Miguel A. Montes Curi #C105 nuestro representante
1 sem
Responder
Jeyler Jesús Medrano Viola
#C105 se soltaron los 🐎
1 sem
Responder
Birlenes Vitola Ortega
MIGUEL MONTES APOYA EL DEPORTE
1 sem
Responder
Estella Hudson del Toro
Que bien que esté pensando en el deporte
Mi apoyo 100% a usted
La mejor opción al camara… Ver más
1 sem
Responder
Isabel Perez
Un joven con propuestas serias
1 sem
Responder
Mer Mer
El deporte también construye futuro. Apoyo a Miguel Montes a la Cámara
1 sem
Responder
Luigy Martinez
Así es mi amigo, firmé
1 sem
Responder
Mer Mer
💙Con valores y compromiso, vota Miguel Montes. Partido Conservador, Cámara 105.
1 sem
Responder
Editado
Nasly Orozco Ruiz
1 sem
Responder
Juan Jose Urango
Tu papá, William montes, vinculado a escándalo de la parapolítica, alianzas con grupos paramilitares, particularmente en el llamado Pacto de Ralito, condenado por la Corte Suprema de Justicia por concierto para delinquir agravado por nexos con grupos a… Ver más
6 días
Responder
Kevin Melendez
Miguel A. Montes Curi cómo ago para comunicarme contigo
5 días
Responder
William López Aguilar
Buenos días .porque esto no lo habían hecho antes .si.no.agora en época de política. De todas formas .me gustas lo que haces .y te veo comprometido con la gente .eso me agrada buen día .amigo
1 día
Responder
Karly Martinez
Excelente
22 h
Responder</t>
  </si>
  <si>
    <r>
      <rPr>
        <color rgb="FF1155CC"/>
        <u/>
      </rPr>
      <t>(3) Facebook</t>
    </r>
  </si>
  <si>
    <t>0:28</t>
  </si>
  <si>
    <t>Lo único qué quiero todos los días. #Cartagena</t>
  </si>
  <si>
    <t>Dani Marce
6 sem
Responder
Jaime Enrigue Aguilar
GIF
6 sem
Responder
Dey AD
6 sem
Responder
Clara Marin
6 sem
Responder
Clara Marin
6 sem
Responder
Alnurfo Marqué
Estamos con Miguel en el Carmen y sus corregimiento
5 sem
Responder</t>
  </si>
  <si>
    <t>-</t>
  </si>
  <si>
    <r>
      <rPr>
        <color rgb="FF1155CC"/>
        <u/>
      </rPr>
      <t>(3) Facebook</t>
    </r>
  </si>
  <si>
    <t>En honor a los 249 años de la bella Magangué de los ríos me como un par de bocachicos, en viuda pa’ la dieta y frito pa’ empatar. 
Un grupo internacional de científicos identificó el genoma del Prochilodus magdalenae para su preservación y así garantizar su seguridad alimentaria, principalmente en Bolívar.
¡Vengamos a conocer todo lo que nuestro departamento tiene para ofrecer! Ver menos</t>
  </si>
  <si>
    <t>León Quintero
El pescado se come con la mano
10 sem
Responder
Martha Cecilia Velez Ahumada
Italian Kiss Sticker
10 sem
Responder
Juan V Plaza
Estás donde crecí Migue!!!
10 sem
Responder
Leonor Marina Herrera Angulo
10 sem
Responder</t>
  </si>
  <si>
    <r>
      <rPr>
        <color rgb="FF1155CC"/>
        <u/>
      </rPr>
      <t>(3) Facebook</t>
    </r>
  </si>
  <si>
    <t>Nada que me recuerde más a la tierra de mi familia que la chepacorina. En honor a su creadora, Josefa 'Chepa' Corina, ¡deseo que todos podamos desayunarla con un café todos los días!
Probemos y disfrutemos los sabores de nuestra tierra. ¡Gracias Carmen de Bolívar! Ver menos</t>
  </si>
  <si>
    <t>Karina Ramos
GIF
14 sem
Responder
Jose Antonio Lascarro Lascarro
14 sem
Responder
Maria C Jimenez Alandete
Uy ese pan se ve rico
14 sem
Responder
Janeth De Leon Guzman
Y las doble queso sí que son un verdadero manjar de los dioses, acompañadas con un pedacito de queso y un tinto pa qué más!!!
14 sem
Responder
Eli Yuyu
No saben a nada esas galletas.
Nada de calidad.
Las chepacorinas originales ya no existen.… Ver más
14 sem
Responder
Angel Guillermo Torres Tobias
Excelente mi amigo Dios te sigabendiciendo grandemente un abrazo
14 sem
Responder
Alnurfo Marqué
Miguel ya puedes hacerle competencia a blacho
14 sem
Responder
Luz Stella Lora
13 sem
Responder</t>
  </si>
  <si>
    <r>
      <rPr>
        <color rgb="FF1155CC"/>
        <u/>
      </rPr>
      <t>(3) Facebook</t>
    </r>
  </si>
  <si>
    <t>¡HOY ES DOMINGO! El que no conozca esta parada obligatoria de los viajeros que atraviesan los Montes de María, ¡está quedao'! 🐖🤤
Siempre me ha gustado cocinar y la sensación que le producimos a nuestros seres queridos cuando los alimentamos. Celebremos el buen comer y apoyemos a los que mantienen viva nuestra cultura gastronómica.
Si no conoces este sitio, ¿a qué esperas? Ya me robé la receta del picantico. 😏 Ver menos</t>
  </si>
  <si>
    <t>Dani Marce
14 sem
Responder
Henry Perez Comas
14 sem
Responder
Clara Marin
14 sem
Responder
Mary Perez Hazime
Deliiii 😋
14 sem
Responder
Melvis Peralta
Hola Migue q rico invita migue</t>
  </si>
  <si>
    <r>
      <rPr>
        <color rgb="FF1155CC"/>
        <u/>
      </rPr>
      <t>(3) Facebook</t>
    </r>
  </si>
  <si>
    <t xml:space="preserve">La memoria no es inherente a la escritura. Antes de los libros, tuvimos que conservar el conocimiento a punta de poemas y canciones. 🎼🎶🎸🥁🪉🪗🎤🤘
Nunca desestimemos el poder transformador de la música: una canción nos quita el despecho, nos aviva el alma, nos produce nostalgia.
Pero también debe cultivar nuestro pensamiento crítico y catalizar nuestra inspiración. Como todo arte, a veces tiene que incomodarnos. 🧠
Con la colaboración especial de @fujithedoxie </t>
  </si>
  <si>
    <t>Dianora Noriega
Nuchachoooooo todo un poeta mi Dios te guíe en todo momento
19 sem
Responder
Juan V Plaza
Well Done Applause Sticker
19 sem
Responder
Dani Marce
19 sem
Responder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</si>
</sst>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quot; de &quot;mmmm&quot; de &quot;yyyy"/>
    <numFmt numFmtId="165" formatCode="0.0"/>
  </numFmts>
  <fonts count="8">
    <font>
      <sz val="10.0"/>
      <color rgb="FF000000"/>
      <name val="Arial"/>
      <scheme val="minor"/>
    </font>
    <font>
      <color theme="1"/>
      <name val="Arial"/>
      <scheme val="minor"/>
    </font>
    <font>
      <u/>
      <color rgb="FF0000FF"/>
      <name val="Roboto"/>
    </font>
    <font>
      <color rgb="FF000000"/>
      <name val="Arial"/>
      <scheme val="minor"/>
    </font>
    <font>
      <u/>
      <color rgb="FF0000FF"/>
      <name val="Roboto"/>
    </font>
    <font>
      <u/>
      <color rgb="FF434343"/>
      <name val="Roboto"/>
    </font>
    <font>
      <u/>
      <color rgb="FF0000FF"/>
      <name val="Roboto"/>
    </font>
    <font>
      <u/>
      <color rgb="FF434343"/>
      <name val="Roboto"/>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10"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2" numFmtId="0" xfId="0" applyAlignment="1" applyFont="1">
      <alignment horizontal="center" readingOrder="0" shrinkToFit="0" vertical="center" wrapText="0"/>
    </xf>
    <xf borderId="0" fillId="0" fontId="1" numFmtId="164"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 numFmtId="10" xfId="0" applyAlignment="1" applyFont="1" applyNumberFormat="1">
      <alignment horizontal="center" shrinkToFit="0" vertical="center" wrapText="1"/>
    </xf>
    <xf borderId="0" fillId="0" fontId="1" numFmtId="165" xfId="0" applyAlignment="1" applyFont="1" applyNumberFormat="1">
      <alignment horizontal="center" shrinkToFit="0" vertical="center" wrapText="1"/>
    </xf>
    <xf borderId="0" fillId="0" fontId="3" numFmtId="164" xfId="0" applyAlignment="1" applyFont="1" applyNumberFormat="1">
      <alignment horizontal="center" readingOrder="0" shrinkToFit="0" vertical="center" wrapText="0"/>
    </xf>
    <xf borderId="0" fillId="0" fontId="4" numFmtId="164" xfId="0" applyAlignment="1" applyFont="1" applyNumberFormat="1">
      <alignment horizontal="center" readingOrder="0" shrinkToFit="0" vertical="center" wrapText="0"/>
    </xf>
    <xf borderId="0" fillId="0" fontId="5" numFmtId="164" xfId="0" applyAlignment="1" applyFont="1" applyNumberFormat="1">
      <alignment horizontal="center" readingOrder="0" shrinkToFit="0" vertical="center" wrapText="0"/>
    </xf>
    <xf borderId="0" fillId="0" fontId="6" numFmtId="0" xfId="0" applyAlignment="1" applyFont="1">
      <alignment horizontal="center" readingOrder="0" shrinkToFit="0" vertical="center" wrapText="0"/>
    </xf>
    <xf borderId="0" fillId="0" fontId="1" numFmtId="0" xfId="0" applyAlignment="1" applyFont="1">
      <alignment horizontal="center" readingOrder="0" shrinkToFit="0" vertical="center" wrapText="1"/>
    </xf>
    <xf borderId="0" fillId="0" fontId="1" numFmtId="164" xfId="0" applyAlignment="1" applyFont="1" applyNumberFormat="1">
      <alignment horizontal="center" readingOrder="0" shrinkToFit="0" vertical="center" wrapText="0"/>
    </xf>
    <xf borderId="0" fillId="0" fontId="1" numFmtId="0" xfId="0" applyAlignment="1" applyFont="1">
      <alignment horizontal="center" shrinkToFit="0" vertical="center" wrapText="1"/>
    </xf>
    <xf borderId="0" fillId="0" fontId="1" numFmtId="49"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0"/>
    </xf>
    <xf borderId="0" fillId="0" fontId="1" numFmtId="49" xfId="0" applyAlignment="1" applyFont="1" applyNumberFormat="1">
      <alignment horizontal="center" shrinkToFit="0" vertical="center" wrapText="1"/>
    </xf>
    <xf borderId="0" fillId="0" fontId="7" numFmtId="0" xfId="0" applyAlignment="1" applyFont="1">
      <alignment horizontal="center" readingOrder="0" shrinkToFit="0" vertical="center" wrapText="0"/>
    </xf>
    <xf borderId="0" fillId="0" fontId="1" numFmtId="164" xfId="0" applyAlignment="1" applyFont="1" applyNumberFormat="1">
      <alignment horizontal="center" shrinkToFit="0" vertical="center" wrapText="1"/>
    </xf>
    <xf borderId="0" fillId="0" fontId="1" numFmtId="165" xfId="0" applyAlignment="1" applyFont="1" applyNumberFormat="1">
      <alignment shrinkToFit="0" vertical="center" wrapText="1"/>
    </xf>
    <xf borderId="0" fillId="0" fontId="1" numFmtId="0" xfId="0" applyAlignment="1" applyFont="1">
      <alignment horizontal="center" shrinkToFit="0" vertical="center" wrapText="0"/>
    </xf>
    <xf borderId="0" fillId="0" fontId="1" numFmtId="10" xfId="0" applyAlignment="1" applyFont="1" applyNumberFormat="1">
      <alignment horizontal="center" shrinkToFit="0" vertical="center" wrapText="1"/>
    </xf>
    <xf borderId="0" fillId="0" fontId="1" numFmtId="165" xfId="0" applyAlignment="1" applyFont="1" applyNumberFormat="1">
      <alignment horizontal="center"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instagram-style">
      <tableStyleElement dxfId="1" type="headerRow"/>
      <tableStyleElement dxfId="2" type="firstRowStripe"/>
      <tableStyleElement dxfId="3" type="secondRowStripe"/>
      <tableStyleElement dxfId="4" size="0" type="wholeTable"/>
    </tableStyle>
    <tableStyle count="4" pivot="0" name="instagram-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Q66" displayName="Tabla_1" name="Tabla_1" id="1">
  <tableColumns count="17">
    <tableColumn name="#" id="1"/>
    <tableColumn name="Link Publicación" id="2"/>
    <tableColumn name="Fecha" id="3"/>
    <tableColumn name="Días sin publicar" id="4"/>
    <tableColumn name="Tema/Categoría" id="5"/>
    <tableColumn name="Formato" id="6"/>
    <tableColumn name="Duración (min:seg)" id="7"/>
    <tableColumn name="Descripción/Caption" id="8"/>
    <tableColumn name="Raw Data: Comentarios" id="9"/>
    <tableColumn name="Reproducciones" id="10"/>
    <tableColumn name="Likes" id="11"/>
    <tableColumn name="Conteo Comentarios" id="12"/>
    <tableColumn name="Reposteados" id="13"/>
    <tableColumn name="Compartidos" id="14"/>
    <tableColumn name="Guardados TikTok" id="15"/>
    <tableColumn name="# en Ig/Tk" id="16"/>
    <tableColumn name="# en Ig/Fb" id="17"/>
  </tableColumns>
  <tableStyleInfo name="instagram-style" showColumnStripes="0" showFirstColumn="1" showLastColumn="1" showRowStripes="1"/>
</table>
</file>

<file path=xl/tables/table2.xml><?xml version="1.0" encoding="utf-8"?>
<table xmlns="http://schemas.openxmlformats.org/spreadsheetml/2006/main" ref="S1:U66" displayName="Tabla_2" name="Tabla_2" id="2">
  <tableColumns count="3">
    <tableColumn name="Sends per Reach" id="1"/>
    <tableColumn name="Likes per Reach" id="2"/>
    <tableColumn name="Quality Score (1-10)" id="3"/>
  </tableColumns>
  <tableStyleInfo name="instagram-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stagram.com/reel/DRpn7_LkTM6/" TargetMode="External"/><Relationship Id="rId42" Type="http://schemas.openxmlformats.org/officeDocument/2006/relationships/hyperlink" Target="https://www.instagram.com/reel/DRkXmY4kX0Q/" TargetMode="External"/><Relationship Id="rId41" Type="http://schemas.openxmlformats.org/officeDocument/2006/relationships/hyperlink" Target="https://www.instagram.com/miguemontes1/reel/DRpn7_LkTM6/" TargetMode="External"/><Relationship Id="rId44" Type="http://schemas.openxmlformats.org/officeDocument/2006/relationships/hyperlink" Target="https://www.instagram.com/reel/DRfo0kikWV8/" TargetMode="External"/><Relationship Id="rId43" Type="http://schemas.openxmlformats.org/officeDocument/2006/relationships/hyperlink" Target="https://www.instagram.com/miguemontes1/reel/DRkXmY4kX0Q/" TargetMode="External"/><Relationship Id="rId46" Type="http://schemas.openxmlformats.org/officeDocument/2006/relationships/hyperlink" Target="https://www.instagram.com/reel/DRcZtPtkSJ4/" TargetMode="External"/><Relationship Id="rId45" Type="http://schemas.openxmlformats.org/officeDocument/2006/relationships/hyperlink" Target="https://www.instagram.com/miguemontes1/reel/DRfo0kikWV8/" TargetMode="External"/><Relationship Id="rId107" Type="http://schemas.openxmlformats.org/officeDocument/2006/relationships/hyperlink" Target="https://www.facebook.com/reel/1337482154496711" TargetMode="External"/><Relationship Id="rId106" Type="http://schemas.openxmlformats.org/officeDocument/2006/relationships/hyperlink" Target="https://www.facebook.com/reel/1327975782387268" TargetMode="External"/><Relationship Id="rId105" Type="http://schemas.openxmlformats.org/officeDocument/2006/relationships/hyperlink" Target="https://www.facebook.com/reel/2013401172837121" TargetMode="External"/><Relationship Id="rId104" Type="http://schemas.openxmlformats.org/officeDocument/2006/relationships/hyperlink" Target="https://www.facebook.com/share/r/16wGWWt5Rp/" TargetMode="External"/><Relationship Id="rId109" Type="http://schemas.openxmlformats.org/officeDocument/2006/relationships/hyperlink" Target="https://www.facebook.com/reel/1390885132014128" TargetMode="External"/><Relationship Id="rId108" Type="http://schemas.openxmlformats.org/officeDocument/2006/relationships/hyperlink" Target="https://www.facebook.com/reel/1849900495617163" TargetMode="External"/><Relationship Id="rId48" Type="http://schemas.openxmlformats.org/officeDocument/2006/relationships/hyperlink" Target="https://www.instagram.com/reel/DRabs3mkQ1_/" TargetMode="External"/><Relationship Id="rId47" Type="http://schemas.openxmlformats.org/officeDocument/2006/relationships/hyperlink" Target="https://www.instagram.com/elbolivarense/reel/DRcZtPtkSJ4/" TargetMode="External"/><Relationship Id="rId49" Type="http://schemas.openxmlformats.org/officeDocument/2006/relationships/hyperlink" Target="https://www.instagram.com/miguemontes1/reel/DRabs3mkQ1_/" TargetMode="External"/><Relationship Id="rId103" Type="http://schemas.openxmlformats.org/officeDocument/2006/relationships/hyperlink" Target="https://www.tiktok.com/@miguemontescuri/video/7592974257865510164?lang=es" TargetMode="External"/><Relationship Id="rId102" Type="http://schemas.openxmlformats.org/officeDocument/2006/relationships/hyperlink" Target="https://www.tiktok.com/@miguemontescuri/video/7556324347250478347?lang=es" TargetMode="External"/><Relationship Id="rId101" Type="http://schemas.openxmlformats.org/officeDocument/2006/relationships/hyperlink" Target="https://www.instagram.com/miguemontes1/reel/DNTnt0XRfTD/" TargetMode="External"/><Relationship Id="rId100" Type="http://schemas.openxmlformats.org/officeDocument/2006/relationships/hyperlink" Target="https://www.instagram.com/reel/DNTnt0XRfTD/" TargetMode="External"/><Relationship Id="rId31" Type="http://schemas.openxmlformats.org/officeDocument/2006/relationships/hyperlink" Target="https://www.instagram.com/miguemontes1/reel/DSDNjlskUiI/" TargetMode="External"/><Relationship Id="rId30" Type="http://schemas.openxmlformats.org/officeDocument/2006/relationships/hyperlink" Target="https://www.instagram.com/reel/DSDNjlskUiI/" TargetMode="External"/><Relationship Id="rId33" Type="http://schemas.openxmlformats.org/officeDocument/2006/relationships/hyperlink" Target="https://www.instagram.com/miguemontes1/reel/DR7-7iTEeXs/" TargetMode="External"/><Relationship Id="rId32" Type="http://schemas.openxmlformats.org/officeDocument/2006/relationships/hyperlink" Target="https://www.instagram.com/reel/DR7-7iTEeXs/" TargetMode="External"/><Relationship Id="rId35" Type="http://schemas.openxmlformats.org/officeDocument/2006/relationships/hyperlink" Target="https://www.instagram.com/elbolivarense/reel/DR5AFlkCfh7/" TargetMode="External"/><Relationship Id="rId34" Type="http://schemas.openxmlformats.org/officeDocument/2006/relationships/hyperlink" Target="https://www.instagram.com/reel/DR5AFlkCfh7/" TargetMode="External"/><Relationship Id="rId37" Type="http://schemas.openxmlformats.org/officeDocument/2006/relationships/hyperlink" Target="https://www.instagram.com/miguemontes1/reel/DR2WC0ckc6V/" TargetMode="External"/><Relationship Id="rId36" Type="http://schemas.openxmlformats.org/officeDocument/2006/relationships/hyperlink" Target="https://www.instagram.com/reel/DR2WC0ckc6V/" TargetMode="External"/><Relationship Id="rId39" Type="http://schemas.openxmlformats.org/officeDocument/2006/relationships/hyperlink" Target="https://www.instagram.com/miguemontes1/reel/DRwvHnTERaB/" TargetMode="External"/><Relationship Id="rId38" Type="http://schemas.openxmlformats.org/officeDocument/2006/relationships/hyperlink" Target="https://www.instagram.com/reel/DRwvHnTERaB/" TargetMode="External"/><Relationship Id="rId20" Type="http://schemas.openxmlformats.org/officeDocument/2006/relationships/hyperlink" Target="https://www.instagram.com/reel/DSpfvF_kVSQ/" TargetMode="External"/><Relationship Id="rId22" Type="http://schemas.openxmlformats.org/officeDocument/2006/relationships/hyperlink" Target="https://www.instagram.com/reel/DSk9LfGkYeT/" TargetMode="External"/><Relationship Id="rId21" Type="http://schemas.openxmlformats.org/officeDocument/2006/relationships/hyperlink" Target="https://www.instagram.com/miguemontes1/reel/DSpfvF_kVSQ/" TargetMode="External"/><Relationship Id="rId24" Type="http://schemas.openxmlformats.org/officeDocument/2006/relationships/hyperlink" Target="https://www.instagram.com/reel/DScyLKUEZMZ/" TargetMode="External"/><Relationship Id="rId23" Type="http://schemas.openxmlformats.org/officeDocument/2006/relationships/hyperlink" Target="https://www.instagram.com/miguemontes1/reel/DSk9LfGkYeT/" TargetMode="External"/><Relationship Id="rId26" Type="http://schemas.openxmlformats.org/officeDocument/2006/relationships/hyperlink" Target="https://www.instagram.com/reel/DSX2USPkZrj/" TargetMode="External"/><Relationship Id="rId25" Type="http://schemas.openxmlformats.org/officeDocument/2006/relationships/hyperlink" Target="https://www.instagram.com/miguemontes1/reel/DScyLKUEZMZ/" TargetMode="External"/><Relationship Id="rId28" Type="http://schemas.openxmlformats.org/officeDocument/2006/relationships/hyperlink" Target="https://www.instagram.com/reel/DSK_L0_EW0o/" TargetMode="External"/><Relationship Id="rId27" Type="http://schemas.openxmlformats.org/officeDocument/2006/relationships/hyperlink" Target="https://www.instagram.com/miguemontes1/reel/DSX2USPkZrj/" TargetMode="External"/><Relationship Id="rId29" Type="http://schemas.openxmlformats.org/officeDocument/2006/relationships/hyperlink" Target="https://www.instagram.com/miguemontes1/reel/DSK_L0_EW0o/" TargetMode="External"/><Relationship Id="rId95" Type="http://schemas.openxmlformats.org/officeDocument/2006/relationships/hyperlink" Target="https://www.instagram.com/miguemontes1/reel/DNqkhEjR1KK/" TargetMode="External"/><Relationship Id="rId94" Type="http://schemas.openxmlformats.org/officeDocument/2006/relationships/hyperlink" Target="https://www.instagram.com/reel/DNqkhEjR1KK/" TargetMode="External"/><Relationship Id="rId97" Type="http://schemas.openxmlformats.org/officeDocument/2006/relationships/hyperlink" Target="https://www.instagram.com/miguemontes1/reel/DNlfuQog-Du/" TargetMode="External"/><Relationship Id="rId96" Type="http://schemas.openxmlformats.org/officeDocument/2006/relationships/hyperlink" Target="https://www.instagram.com/reel/DNlfuQog-Du/" TargetMode="External"/><Relationship Id="rId11" Type="http://schemas.openxmlformats.org/officeDocument/2006/relationships/hyperlink" Target="https://www.instagram.com/reel/DTEWoumEVMy/" TargetMode="External"/><Relationship Id="rId99" Type="http://schemas.openxmlformats.org/officeDocument/2006/relationships/hyperlink" Target="https://www.instagram.com/miguemontes1/reel/DNa9aOagJ_V/" TargetMode="External"/><Relationship Id="rId10" Type="http://schemas.openxmlformats.org/officeDocument/2006/relationships/hyperlink" Target="https://www.instagram.com/reel/DTLCqnqEdqx/" TargetMode="External"/><Relationship Id="rId98" Type="http://schemas.openxmlformats.org/officeDocument/2006/relationships/hyperlink" Target="https://www.instagram.com/reel/DNa9aOagJ_V/" TargetMode="External"/><Relationship Id="rId13" Type="http://schemas.openxmlformats.org/officeDocument/2006/relationships/hyperlink" Target="https://www.instagram.com/miguemontes1/reel/DS5KhsDEasC/" TargetMode="External"/><Relationship Id="rId12" Type="http://schemas.openxmlformats.org/officeDocument/2006/relationships/hyperlink" Target="https://www.instagram.com/reel/DS5KhsDEasC/" TargetMode="External"/><Relationship Id="rId91" Type="http://schemas.openxmlformats.org/officeDocument/2006/relationships/hyperlink" Target="https://www.instagram.com/reel/DOHBWjCEaD4/" TargetMode="External"/><Relationship Id="rId90" Type="http://schemas.openxmlformats.org/officeDocument/2006/relationships/hyperlink" Target="https://www.instagram.com/miguemontes1/reel/DOZE9W9ESGJ/" TargetMode="External"/><Relationship Id="rId93" Type="http://schemas.openxmlformats.org/officeDocument/2006/relationships/hyperlink" Target="https://www.instagram.com/miguemontes1/reel/DN6m4TykasM/" TargetMode="External"/><Relationship Id="rId92" Type="http://schemas.openxmlformats.org/officeDocument/2006/relationships/hyperlink" Target="https://www.instagram.com/reel/DN6m4TykasM/" TargetMode="External"/><Relationship Id="rId15" Type="http://schemas.openxmlformats.org/officeDocument/2006/relationships/hyperlink" Target="https://www.instagram.com/hablalonoticias/reel/DSya6cyjU3o/" TargetMode="External"/><Relationship Id="rId110" Type="http://schemas.openxmlformats.org/officeDocument/2006/relationships/drawing" Target="../drawings/drawing1.xml"/><Relationship Id="rId14" Type="http://schemas.openxmlformats.org/officeDocument/2006/relationships/hyperlink" Target="https://www.instagram.com/reel/DSya6cyjU3o/" TargetMode="External"/><Relationship Id="rId17" Type="http://schemas.openxmlformats.org/officeDocument/2006/relationships/hyperlink" Target="https://www.instagram.com/miguemontes1/reel/DSxrXTikelk/" TargetMode="External"/><Relationship Id="rId16" Type="http://schemas.openxmlformats.org/officeDocument/2006/relationships/hyperlink" Target="https://www.instagram.com/reel/DSxrXTikelk/" TargetMode="External"/><Relationship Id="rId19" Type="http://schemas.openxmlformats.org/officeDocument/2006/relationships/hyperlink" Target="https://www.instagram.com/miguemontes1/reel/DSvO2ntkXDd/" TargetMode="External"/><Relationship Id="rId114" Type="http://schemas.openxmlformats.org/officeDocument/2006/relationships/table" Target="../tables/table2.xml"/><Relationship Id="rId18" Type="http://schemas.openxmlformats.org/officeDocument/2006/relationships/hyperlink" Target="https://www.instagram.com/reel/DSvO2ntkXDd/" TargetMode="External"/><Relationship Id="rId113" Type="http://schemas.openxmlformats.org/officeDocument/2006/relationships/table" Target="../tables/table1.xml"/><Relationship Id="rId84" Type="http://schemas.openxmlformats.org/officeDocument/2006/relationships/hyperlink" Target="https://www.instagram.com/miguemontes1/reel/DPKHq9bkcxs/" TargetMode="External"/><Relationship Id="rId83" Type="http://schemas.openxmlformats.org/officeDocument/2006/relationships/hyperlink" Target="https://www.instagram.com/reel/DPKHq9bkcxs/" TargetMode="External"/><Relationship Id="rId86" Type="http://schemas.openxmlformats.org/officeDocument/2006/relationships/hyperlink" Target="https://www.instagram.com/miguemontes1/reel/DO8_LYTkcDV/" TargetMode="External"/><Relationship Id="rId85" Type="http://schemas.openxmlformats.org/officeDocument/2006/relationships/hyperlink" Target="https://www.instagram.com/reel/DO8_LYTkcDV/" TargetMode="External"/><Relationship Id="rId88" Type="http://schemas.openxmlformats.org/officeDocument/2006/relationships/hyperlink" Target="https://www.instagram.com/miguemontes1/reel/DOq-z17kXbm/" TargetMode="External"/><Relationship Id="rId87" Type="http://schemas.openxmlformats.org/officeDocument/2006/relationships/hyperlink" Target="https://www.instagram.com/reel/DOq-z17kXbm/" TargetMode="External"/><Relationship Id="rId89" Type="http://schemas.openxmlformats.org/officeDocument/2006/relationships/hyperlink" Target="https://www.instagram.com/reel/DOZE9W9ESGJ/" TargetMode="External"/><Relationship Id="rId80" Type="http://schemas.openxmlformats.org/officeDocument/2006/relationships/hyperlink" Target="https://www.instagram.com/reel/DPUfjeIEXZE/" TargetMode="External"/><Relationship Id="rId82" Type="http://schemas.openxmlformats.org/officeDocument/2006/relationships/hyperlink" Target="https://www.instagram.com/miguemontes1/reel/DPO9o_7EZp9/" TargetMode="External"/><Relationship Id="rId81" Type="http://schemas.openxmlformats.org/officeDocument/2006/relationships/hyperlink" Target="https://www.instagram.com/reel/DPO9o_7EZp9/" TargetMode="External"/><Relationship Id="rId1" Type="http://schemas.openxmlformats.org/officeDocument/2006/relationships/hyperlink" Target="https://www.instagram.com/reel/DTWD-1QkaWD/" TargetMode="External"/><Relationship Id="rId2" Type="http://schemas.openxmlformats.org/officeDocument/2006/relationships/hyperlink" Target="https://www.instagram.com/reel/DTTWAE4EcP-/" TargetMode="External"/><Relationship Id="rId3" Type="http://schemas.openxmlformats.org/officeDocument/2006/relationships/hyperlink" Target="https://www.instagram.com/reel/DTSnRsfjhrj/" TargetMode="External"/><Relationship Id="rId4" Type="http://schemas.openxmlformats.org/officeDocument/2006/relationships/hyperlink" Target="https://www.instagram.com/reel/DTQsn1SEaWC/" TargetMode="External"/><Relationship Id="rId9" Type="http://schemas.openxmlformats.org/officeDocument/2006/relationships/hyperlink" Target="https://www.instagram.com/reel/DTL2RqfkT6r/" TargetMode="External"/><Relationship Id="rId5" Type="http://schemas.openxmlformats.org/officeDocument/2006/relationships/hyperlink" Target="https://www.instagram.com/reel/DTP_Dv5DrV2/" TargetMode="External"/><Relationship Id="rId6" Type="http://schemas.openxmlformats.org/officeDocument/2006/relationships/hyperlink" Target="https://www.instagram.com/reel/DTO2Dv0EUCp/" TargetMode="External"/><Relationship Id="rId7" Type="http://schemas.openxmlformats.org/officeDocument/2006/relationships/hyperlink" Target="https://www.instagram.com/reel/DTN46UZEWXO/" TargetMode="External"/><Relationship Id="rId8" Type="http://schemas.openxmlformats.org/officeDocument/2006/relationships/hyperlink" Target="https://www.instagram.com/reel/DTL7HTrkTHI/" TargetMode="External"/><Relationship Id="rId73" Type="http://schemas.openxmlformats.org/officeDocument/2006/relationships/hyperlink" Target="https://www.instagram.com/miguemontes1/reel/DP1qoK3ES_G/" TargetMode="External"/><Relationship Id="rId72" Type="http://schemas.openxmlformats.org/officeDocument/2006/relationships/hyperlink" Target="https://www.instagram.com/reel/DP1qoK3ES_G/" TargetMode="External"/><Relationship Id="rId75" Type="http://schemas.openxmlformats.org/officeDocument/2006/relationships/hyperlink" Target="https://www.instagram.com/papirofagos/reel/DPzMSTYiOUU/" TargetMode="External"/><Relationship Id="rId74" Type="http://schemas.openxmlformats.org/officeDocument/2006/relationships/hyperlink" Target="https://www.instagram.com/reel/DPzMSTYiOUU/" TargetMode="External"/><Relationship Id="rId77" Type="http://schemas.openxmlformats.org/officeDocument/2006/relationships/hyperlink" Target="https://www.instagram.com/miguemontes1/reel/DPuGuKEEQ2Q/" TargetMode="External"/><Relationship Id="rId76" Type="http://schemas.openxmlformats.org/officeDocument/2006/relationships/hyperlink" Target="https://www.instagram.com/reel/DPuGuKEEQ2Q/" TargetMode="External"/><Relationship Id="rId79" Type="http://schemas.openxmlformats.org/officeDocument/2006/relationships/hyperlink" Target="https://www.instagram.com/miguemontes1/reel/DPmuE1xkbRc/" TargetMode="External"/><Relationship Id="rId78" Type="http://schemas.openxmlformats.org/officeDocument/2006/relationships/hyperlink" Target="https://www.instagram.com/reel/DPmuE1xkbRc/" TargetMode="External"/><Relationship Id="rId71" Type="http://schemas.openxmlformats.org/officeDocument/2006/relationships/hyperlink" Target="https://www.instagram.com/russi9n/reel/DP9aZlZETMg/" TargetMode="External"/><Relationship Id="rId70" Type="http://schemas.openxmlformats.org/officeDocument/2006/relationships/hyperlink" Target="https://www.instagram.com/reel/DP9aZlZETMg/" TargetMode="External"/><Relationship Id="rId62" Type="http://schemas.openxmlformats.org/officeDocument/2006/relationships/hyperlink" Target="https://www.instagram.com/reel/DQkriLRkb2q/" TargetMode="External"/><Relationship Id="rId61" Type="http://schemas.openxmlformats.org/officeDocument/2006/relationships/hyperlink" Target="https://www.instagram.com/miguemontes1/reel/DQu_EgnkY_Q/" TargetMode="External"/><Relationship Id="rId64" Type="http://schemas.openxmlformats.org/officeDocument/2006/relationships/hyperlink" Target="https://www.instagram.com/reel/DQXY9xHkf1J/" TargetMode="External"/><Relationship Id="rId63" Type="http://schemas.openxmlformats.org/officeDocument/2006/relationships/hyperlink" Target="https://www.instagram.com/miguemontes1/reel/DQkriLRkb2q/" TargetMode="External"/><Relationship Id="rId66" Type="http://schemas.openxmlformats.org/officeDocument/2006/relationships/hyperlink" Target="https://www.instagram.com/reel/DQSEGEOEaFm/" TargetMode="External"/><Relationship Id="rId65" Type="http://schemas.openxmlformats.org/officeDocument/2006/relationships/hyperlink" Target="https://www.instagram.com/miguemontes1/reel/DQXY9xHkf1J/" TargetMode="External"/><Relationship Id="rId68" Type="http://schemas.openxmlformats.org/officeDocument/2006/relationships/hyperlink" Target="https://www.instagram.com/reel/DQFqzBEETh1/" TargetMode="External"/><Relationship Id="rId67" Type="http://schemas.openxmlformats.org/officeDocument/2006/relationships/hyperlink" Target="https://www.instagram.com/miguemontes1/reel/DQSEGEOEaFm/" TargetMode="External"/><Relationship Id="rId60" Type="http://schemas.openxmlformats.org/officeDocument/2006/relationships/hyperlink" Target="https://www.instagram.com/reel/DQu_EgnkY_Q/" TargetMode="External"/><Relationship Id="rId69" Type="http://schemas.openxmlformats.org/officeDocument/2006/relationships/hyperlink" Target="https://www.instagram.com/miguemontes1/reel/DQFqzBEETh1/" TargetMode="External"/><Relationship Id="rId51" Type="http://schemas.openxmlformats.org/officeDocument/2006/relationships/hyperlink" Target="https://www.instagram.com/palan.tecartagena/reel/DRUma_cDbwP/" TargetMode="External"/><Relationship Id="rId50" Type="http://schemas.openxmlformats.org/officeDocument/2006/relationships/hyperlink" Target="https://www.instagram.com/reel/DRUma_cDbwP/" TargetMode="External"/><Relationship Id="rId53" Type="http://schemas.openxmlformats.org/officeDocument/2006/relationships/hyperlink" Target="https://www.instagram.com/miguemontes1/reel/DRSXVATESQi/" TargetMode="External"/><Relationship Id="rId52" Type="http://schemas.openxmlformats.org/officeDocument/2006/relationships/hyperlink" Target="https://www.instagram.com/reel/DRSXVATESQi/" TargetMode="External"/><Relationship Id="rId55" Type="http://schemas.openxmlformats.org/officeDocument/2006/relationships/hyperlink" Target="https://www.instagram.com/miguemontes1/reel/DRDBXeVkY2M/" TargetMode="External"/><Relationship Id="rId54" Type="http://schemas.openxmlformats.org/officeDocument/2006/relationships/hyperlink" Target="https://www.instagram.com/reel/DRDBXeVkY2M/" TargetMode="External"/><Relationship Id="rId57" Type="http://schemas.openxmlformats.org/officeDocument/2006/relationships/hyperlink" Target="https://www.instagram.com/elbolivarense/reel/DQ8AeE5EbnJ/" TargetMode="External"/><Relationship Id="rId56" Type="http://schemas.openxmlformats.org/officeDocument/2006/relationships/hyperlink" Target="https://www.instagram.com/reel/DQ8AeE5EbnJ/" TargetMode="External"/><Relationship Id="rId59" Type="http://schemas.openxmlformats.org/officeDocument/2006/relationships/hyperlink" Target="https://www.instagram.com/miguemontes1/reel/DQ7mhZFkaKu/" TargetMode="External"/><Relationship Id="rId58" Type="http://schemas.openxmlformats.org/officeDocument/2006/relationships/hyperlink" Target="https://www.instagram.com/reel/DQ7mhZFkaKu/"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5"/>
    <col customWidth="1" min="2" max="2" width="14.0"/>
    <col customWidth="1" min="3" max="3" width="21.5"/>
    <col customWidth="1" min="4" max="4" width="11.5"/>
    <col customWidth="1" min="5" max="5" width="12.88"/>
    <col customWidth="1" min="6" max="6" width="11.75"/>
    <col customWidth="1" min="7" max="7" width="13.13"/>
    <col customWidth="1" min="8" max="8" width="20.75"/>
    <col customWidth="1" min="9" max="9" width="22.88"/>
    <col customWidth="1" min="10" max="10" width="17.5"/>
    <col customWidth="1" min="11" max="11" width="9.38"/>
    <col customWidth="1" min="12" max="12" width="15.0"/>
    <col customWidth="1" min="13" max="13" width="15.25"/>
    <col customWidth="1" min="14" max="14" width="15.13"/>
    <col customWidth="1" min="15" max="15" width="13.63"/>
    <col customWidth="1" min="16" max="17" width="9.38"/>
    <col customWidth="1" min="19" max="19" width="16.0"/>
    <col customWidth="1" min="20" max="20" width="14.75"/>
    <col customWidth="1" min="21" max="21" width="11.0"/>
    <col customWidth="1" min="23" max="23" width="22.25"/>
  </cols>
  <sheetData>
    <row r="1" ht="22.5" customHeight="1">
      <c r="A1" s="1" t="s">
        <v>0</v>
      </c>
      <c r="B1" s="1" t="s">
        <v>1</v>
      </c>
      <c r="C1" s="1" t="s">
        <v>2</v>
      </c>
      <c r="D1" s="2" t="s">
        <v>3</v>
      </c>
      <c r="E1" s="1" t="s">
        <v>4</v>
      </c>
      <c r="F1" s="1" t="s">
        <v>5</v>
      </c>
      <c r="G1" s="1" t="s">
        <v>6</v>
      </c>
      <c r="H1" s="3" t="s">
        <v>7</v>
      </c>
      <c r="I1" s="3" t="s">
        <v>8</v>
      </c>
      <c r="J1" s="1" t="s">
        <v>9</v>
      </c>
      <c r="K1" s="1" t="s">
        <v>10</v>
      </c>
      <c r="L1" s="1" t="s">
        <v>11</v>
      </c>
      <c r="M1" s="1" t="s">
        <v>12</v>
      </c>
      <c r="N1" s="1" t="s">
        <v>13</v>
      </c>
      <c r="O1" s="1" t="s">
        <v>14</v>
      </c>
      <c r="P1" s="1" t="s">
        <v>15</v>
      </c>
      <c r="Q1" s="1" t="s">
        <v>16</v>
      </c>
      <c r="R1" s="4" t="s">
        <v>17</v>
      </c>
      <c r="S1" s="5" t="s">
        <v>18</v>
      </c>
      <c r="T1" s="5" t="s">
        <v>19</v>
      </c>
      <c r="U1" s="1" t="s">
        <v>20</v>
      </c>
      <c r="V1" s="6"/>
      <c r="W1" s="6"/>
      <c r="X1" s="6"/>
      <c r="Y1" s="6"/>
      <c r="Z1" s="6"/>
      <c r="AA1" s="6"/>
      <c r="AB1" s="6"/>
      <c r="AC1" s="6"/>
      <c r="AD1" s="6"/>
    </row>
    <row r="2" ht="15.75" customHeight="1">
      <c r="A2" s="1">
        <v>1.0</v>
      </c>
      <c r="B2" s="7" t="s">
        <v>21</v>
      </c>
      <c r="C2" s="8">
        <v>46032.0</v>
      </c>
      <c r="D2" s="9">
        <f t="shared" ref="D2:D9" si="1">C2-C3</f>
        <v>0</v>
      </c>
      <c r="E2" s="9"/>
      <c r="F2" s="1" t="s">
        <v>22</v>
      </c>
      <c r="G2" s="2" t="s">
        <v>23</v>
      </c>
      <c r="H2" s="3" t="s">
        <v>24</v>
      </c>
      <c r="I2" s="3" t="s">
        <v>25</v>
      </c>
      <c r="J2" s="1">
        <v>2590.0</v>
      </c>
      <c r="K2" s="1">
        <v>144.0</v>
      </c>
      <c r="L2" s="1">
        <v>13.0</v>
      </c>
      <c r="M2" s="1">
        <v>18.0</v>
      </c>
      <c r="N2" s="1">
        <v>6.0</v>
      </c>
      <c r="O2" s="9"/>
      <c r="P2" s="9"/>
      <c r="Q2" s="9"/>
      <c r="R2" s="6"/>
      <c r="S2" s="10">
        <f t="shared" ref="S2:S66" si="2">((M2+N2)/J2)*100</f>
        <v>0.9266409266</v>
      </c>
      <c r="T2" s="10">
        <f t="shared" ref="T2:T66" si="3">(K2/J2)*100</f>
        <v>5.55984556</v>
      </c>
      <c r="U2" s="11" t="str">
        <f t="shared" ref="U2:U58" si="4">IF(J2=0, 0, MIN(10, ((T2*500) + (S2*300) + (#REF!*400))))</f>
        <v>#REF!</v>
      </c>
      <c r="V2" s="6"/>
      <c r="W2" s="6"/>
      <c r="X2" s="6"/>
      <c r="Y2" s="6"/>
      <c r="Z2" s="6"/>
      <c r="AA2" s="6"/>
      <c r="AB2" s="6"/>
      <c r="AC2" s="6"/>
      <c r="AD2" s="6"/>
    </row>
    <row r="3" ht="15.75" customHeight="1">
      <c r="A3" s="1">
        <v>2.0</v>
      </c>
      <c r="B3" s="7" t="s">
        <v>26</v>
      </c>
      <c r="C3" s="8">
        <v>46032.0</v>
      </c>
      <c r="D3" s="9">
        <f t="shared" si="1"/>
        <v>0</v>
      </c>
      <c r="E3" s="9"/>
      <c r="F3" s="1" t="s">
        <v>22</v>
      </c>
      <c r="G3" s="2" t="s">
        <v>27</v>
      </c>
      <c r="H3" s="3" t="s">
        <v>28</v>
      </c>
      <c r="I3" s="3" t="s">
        <v>29</v>
      </c>
      <c r="J3" s="1">
        <v>4415.0</v>
      </c>
      <c r="K3" s="1">
        <v>168.0</v>
      </c>
      <c r="L3" s="1">
        <v>19.0</v>
      </c>
      <c r="M3" s="1">
        <v>16.0</v>
      </c>
      <c r="N3" s="1">
        <v>14.0</v>
      </c>
      <c r="O3" s="9"/>
      <c r="P3" s="9"/>
      <c r="Q3" s="9"/>
      <c r="R3" s="6"/>
      <c r="S3" s="10">
        <f t="shared" si="2"/>
        <v>0.6795016988</v>
      </c>
      <c r="T3" s="10">
        <f t="shared" si="3"/>
        <v>3.805209513</v>
      </c>
      <c r="U3" s="11" t="str">
        <f t="shared" si="4"/>
        <v>#REF!</v>
      </c>
      <c r="V3" s="6"/>
      <c r="W3" s="4" t="s">
        <v>30</v>
      </c>
      <c r="X3" s="4">
        <v>23.0</v>
      </c>
      <c r="Y3" s="6"/>
      <c r="Z3" s="6"/>
      <c r="AA3" s="6"/>
      <c r="AB3" s="6"/>
      <c r="AC3" s="6"/>
      <c r="AD3" s="6"/>
    </row>
    <row r="4" ht="15.75" customHeight="1">
      <c r="A4" s="1">
        <v>3.0</v>
      </c>
      <c r="B4" s="7" t="s">
        <v>31</v>
      </c>
      <c r="C4" s="8">
        <v>46032.0</v>
      </c>
      <c r="D4" s="9">
        <f t="shared" si="1"/>
        <v>1</v>
      </c>
      <c r="E4" s="9"/>
      <c r="F4" s="1" t="s">
        <v>22</v>
      </c>
      <c r="G4" s="2" t="s">
        <v>32</v>
      </c>
      <c r="H4" s="3" t="s">
        <v>33</v>
      </c>
      <c r="I4" s="3" t="s">
        <v>34</v>
      </c>
      <c r="J4" s="1">
        <v>22000.0</v>
      </c>
      <c r="K4" s="1">
        <v>257.0</v>
      </c>
      <c r="L4" s="1">
        <v>14.0</v>
      </c>
      <c r="M4" s="1">
        <v>24.0</v>
      </c>
      <c r="N4" s="1">
        <v>13.0</v>
      </c>
      <c r="O4" s="9"/>
      <c r="P4" s="9"/>
      <c r="Q4" s="9"/>
      <c r="R4" s="6"/>
      <c r="S4" s="10">
        <f t="shared" si="2"/>
        <v>0.1681818182</v>
      </c>
      <c r="T4" s="10">
        <f t="shared" si="3"/>
        <v>1.168181818</v>
      </c>
      <c r="U4" s="11" t="str">
        <f t="shared" si="4"/>
        <v>#REF!</v>
      </c>
      <c r="V4" s="6"/>
      <c r="W4" s="4" t="s">
        <v>35</v>
      </c>
      <c r="X4" s="4">
        <v>42.0</v>
      </c>
      <c r="Y4" s="6"/>
      <c r="Z4" s="6"/>
      <c r="AA4" s="6"/>
      <c r="AB4" s="6"/>
      <c r="AC4" s="6"/>
      <c r="AD4" s="6"/>
    </row>
    <row r="5" ht="15.75" customHeight="1">
      <c r="A5" s="1">
        <v>4.0</v>
      </c>
      <c r="B5" s="7" t="s">
        <v>36</v>
      </c>
      <c r="C5" s="8">
        <v>46031.0</v>
      </c>
      <c r="D5" s="9">
        <f t="shared" si="1"/>
        <v>0</v>
      </c>
      <c r="E5" s="9"/>
      <c r="F5" s="1" t="s">
        <v>22</v>
      </c>
      <c r="G5" s="2" t="s">
        <v>37</v>
      </c>
      <c r="H5" s="3" t="s">
        <v>38</v>
      </c>
      <c r="I5" s="3" t="s">
        <v>39</v>
      </c>
      <c r="J5" s="1">
        <v>5316.0</v>
      </c>
      <c r="K5" s="1">
        <v>200.0</v>
      </c>
      <c r="L5" s="1">
        <v>43.0</v>
      </c>
      <c r="M5" s="1">
        <v>19.0</v>
      </c>
      <c r="N5" s="1">
        <v>22.0</v>
      </c>
      <c r="O5" s="9"/>
      <c r="P5" s="9"/>
      <c r="Q5" s="9"/>
      <c r="R5" s="6"/>
      <c r="S5" s="10">
        <f t="shared" si="2"/>
        <v>0.7712565839</v>
      </c>
      <c r="T5" s="10">
        <f t="shared" si="3"/>
        <v>3.762227239</v>
      </c>
      <c r="U5" s="11" t="str">
        <f t="shared" si="4"/>
        <v>#REF!</v>
      </c>
      <c r="V5" s="6"/>
      <c r="W5" s="6"/>
      <c r="X5" s="6"/>
      <c r="Y5" s="6"/>
      <c r="Z5" s="6"/>
      <c r="AA5" s="6"/>
      <c r="AB5" s="6"/>
      <c r="AC5" s="6"/>
      <c r="AD5" s="6"/>
    </row>
    <row r="6" ht="15.75" customHeight="1">
      <c r="A6" s="1">
        <v>5.0</v>
      </c>
      <c r="B6" s="7" t="s">
        <v>40</v>
      </c>
      <c r="C6" s="8">
        <v>46031.0</v>
      </c>
      <c r="D6" s="9">
        <f t="shared" si="1"/>
        <v>1</v>
      </c>
      <c r="E6" s="9"/>
      <c r="F6" s="1" t="s">
        <v>22</v>
      </c>
      <c r="G6" s="2" t="s">
        <v>41</v>
      </c>
      <c r="H6" s="3" t="s">
        <v>42</v>
      </c>
      <c r="I6" s="3" t="s">
        <v>43</v>
      </c>
      <c r="J6" s="1">
        <v>87300.0</v>
      </c>
      <c r="K6" s="1">
        <v>800.0</v>
      </c>
      <c r="L6" s="1">
        <v>130.0</v>
      </c>
      <c r="M6" s="1">
        <v>39.0</v>
      </c>
      <c r="N6" s="1">
        <v>25.0</v>
      </c>
      <c r="O6" s="9"/>
      <c r="P6" s="9"/>
      <c r="Q6" s="9"/>
      <c r="R6" s="6"/>
      <c r="S6" s="10">
        <f t="shared" si="2"/>
        <v>0.07331042383</v>
      </c>
      <c r="T6" s="10">
        <f t="shared" si="3"/>
        <v>0.9163802978</v>
      </c>
      <c r="U6" s="11" t="str">
        <f t="shared" si="4"/>
        <v>#REF!</v>
      </c>
      <c r="V6" s="6"/>
      <c r="W6" s="6"/>
      <c r="X6" s="6"/>
      <c r="Y6" s="6"/>
      <c r="Z6" s="6"/>
      <c r="AA6" s="6"/>
      <c r="AB6" s="6"/>
      <c r="AC6" s="6"/>
      <c r="AD6" s="6"/>
    </row>
    <row r="7" ht="15.75" customHeight="1">
      <c r="A7" s="1">
        <v>6.0</v>
      </c>
      <c r="B7" s="7" t="s">
        <v>44</v>
      </c>
      <c r="C7" s="8">
        <v>46030.0</v>
      </c>
      <c r="D7" s="9">
        <f t="shared" si="1"/>
        <v>0</v>
      </c>
      <c r="E7" s="9"/>
      <c r="F7" s="1" t="s">
        <v>22</v>
      </c>
      <c r="G7" s="2" t="s">
        <v>41</v>
      </c>
      <c r="H7" s="3" t="s">
        <v>45</v>
      </c>
      <c r="I7" s="3" t="s">
        <v>46</v>
      </c>
      <c r="J7" s="1">
        <v>10900.0</v>
      </c>
      <c r="K7" s="1">
        <v>346.0</v>
      </c>
      <c r="L7" s="1">
        <v>104.0</v>
      </c>
      <c r="M7" s="1">
        <v>34.0</v>
      </c>
      <c r="N7" s="1">
        <v>26.0</v>
      </c>
      <c r="O7" s="9"/>
      <c r="P7" s="9"/>
      <c r="Q7" s="9"/>
      <c r="R7" s="6"/>
      <c r="S7" s="10">
        <f t="shared" si="2"/>
        <v>0.5504587156</v>
      </c>
      <c r="T7" s="10">
        <f t="shared" si="3"/>
        <v>3.174311927</v>
      </c>
      <c r="U7" s="11" t="str">
        <f t="shared" si="4"/>
        <v>#REF!</v>
      </c>
      <c r="V7" s="6"/>
      <c r="W7" s="6"/>
      <c r="X7" s="6"/>
      <c r="Y7" s="6"/>
      <c r="Z7" s="6"/>
      <c r="AA7" s="6"/>
      <c r="AB7" s="6"/>
      <c r="AC7" s="6"/>
      <c r="AD7" s="6"/>
    </row>
    <row r="8" ht="15.75" customHeight="1">
      <c r="A8" s="1">
        <v>7.0</v>
      </c>
      <c r="B8" s="7" t="s">
        <v>47</v>
      </c>
      <c r="C8" s="8">
        <v>46030.0</v>
      </c>
      <c r="D8" s="9">
        <f t="shared" si="1"/>
        <v>1</v>
      </c>
      <c r="E8" s="9"/>
      <c r="F8" s="1" t="s">
        <v>22</v>
      </c>
      <c r="G8" s="2" t="s">
        <v>48</v>
      </c>
      <c r="H8" s="3" t="s">
        <v>49</v>
      </c>
      <c r="I8" s="3" t="s">
        <v>50</v>
      </c>
      <c r="J8" s="1">
        <v>4048.0</v>
      </c>
      <c r="K8" s="1">
        <v>123.0</v>
      </c>
      <c r="L8" s="1">
        <v>10.0</v>
      </c>
      <c r="M8" s="1">
        <v>18.0</v>
      </c>
      <c r="N8" s="1">
        <v>3.0</v>
      </c>
      <c r="O8" s="9"/>
      <c r="P8" s="9"/>
      <c r="Q8" s="9"/>
      <c r="R8" s="6"/>
      <c r="S8" s="10">
        <f t="shared" si="2"/>
        <v>0.5187747036</v>
      </c>
      <c r="T8" s="10">
        <f t="shared" si="3"/>
        <v>3.038537549</v>
      </c>
      <c r="U8" s="11" t="str">
        <f t="shared" si="4"/>
        <v>#REF!</v>
      </c>
      <c r="V8" s="6"/>
      <c r="W8" s="6"/>
      <c r="X8" s="6"/>
      <c r="Y8" s="6"/>
      <c r="Z8" s="6"/>
      <c r="AA8" s="6"/>
      <c r="AB8" s="6"/>
      <c r="AC8" s="6"/>
      <c r="AD8" s="6"/>
    </row>
    <row r="9" ht="15.75" customHeight="1">
      <c r="A9" s="1">
        <v>8.0</v>
      </c>
      <c r="B9" s="7" t="s">
        <v>51</v>
      </c>
      <c r="C9" s="8">
        <v>46029.0</v>
      </c>
      <c r="D9" s="9">
        <f t="shared" si="1"/>
        <v>0</v>
      </c>
      <c r="E9" s="9"/>
      <c r="F9" s="1" t="s">
        <v>22</v>
      </c>
      <c r="G9" s="2" t="s">
        <v>52</v>
      </c>
      <c r="H9" s="3" t="s">
        <v>53</v>
      </c>
      <c r="I9" s="3" t="s">
        <v>54</v>
      </c>
      <c r="J9" s="1">
        <v>10100.0</v>
      </c>
      <c r="K9" s="1">
        <v>265.0</v>
      </c>
      <c r="L9" s="1">
        <v>102.0</v>
      </c>
      <c r="M9" s="1">
        <v>18.0</v>
      </c>
      <c r="N9" s="1">
        <v>10.0</v>
      </c>
      <c r="O9" s="9"/>
      <c r="P9" s="9"/>
      <c r="Q9" s="9"/>
      <c r="R9" s="6"/>
      <c r="S9" s="10">
        <f t="shared" si="2"/>
        <v>0.2772277228</v>
      </c>
      <c r="T9" s="10">
        <f t="shared" si="3"/>
        <v>2.623762376</v>
      </c>
      <c r="U9" s="11" t="str">
        <f t="shared" si="4"/>
        <v>#REF!</v>
      </c>
      <c r="V9" s="6"/>
      <c r="W9" s="6"/>
      <c r="X9" s="6"/>
      <c r="Y9" s="6"/>
      <c r="Z9" s="6"/>
      <c r="AA9" s="6"/>
      <c r="AB9" s="6"/>
      <c r="AC9" s="6"/>
      <c r="AD9" s="6"/>
    </row>
    <row r="10" ht="15.75" customHeight="1">
      <c r="A10" s="1">
        <v>9.0</v>
      </c>
      <c r="B10" s="7" t="s">
        <v>55</v>
      </c>
      <c r="C10" s="8">
        <v>46029.0</v>
      </c>
      <c r="D10" s="9">
        <f>C9-C10</f>
        <v>0</v>
      </c>
      <c r="E10" s="9"/>
      <c r="F10" s="1" t="s">
        <v>22</v>
      </c>
      <c r="G10" s="2" t="s">
        <v>56</v>
      </c>
      <c r="H10" s="3" t="s">
        <v>57</v>
      </c>
      <c r="I10" s="3" t="s">
        <v>58</v>
      </c>
      <c r="J10" s="1">
        <v>10500.0</v>
      </c>
      <c r="K10" s="1">
        <v>254.0</v>
      </c>
      <c r="L10" s="1">
        <v>12.0</v>
      </c>
      <c r="M10" s="1">
        <v>18.0</v>
      </c>
      <c r="N10" s="1">
        <v>32.0</v>
      </c>
      <c r="O10" s="9"/>
      <c r="P10" s="9"/>
      <c r="Q10" s="9"/>
      <c r="R10" s="6"/>
      <c r="S10" s="10">
        <f t="shared" si="2"/>
        <v>0.4761904762</v>
      </c>
      <c r="T10" s="10">
        <f t="shared" si="3"/>
        <v>2.419047619</v>
      </c>
      <c r="U10" s="11" t="str">
        <f t="shared" si="4"/>
        <v>#REF!</v>
      </c>
      <c r="V10" s="6"/>
      <c r="W10" s="6"/>
      <c r="X10" s="6"/>
      <c r="Y10" s="6"/>
      <c r="Z10" s="6"/>
      <c r="AA10" s="6"/>
      <c r="AB10" s="6"/>
      <c r="AC10" s="6"/>
      <c r="AD10" s="6"/>
    </row>
    <row r="11" ht="15.75" customHeight="1">
      <c r="A11" s="1">
        <v>10.0</v>
      </c>
      <c r="B11" s="7" t="s">
        <v>59</v>
      </c>
      <c r="C11" s="8">
        <v>46029.0</v>
      </c>
      <c r="D11" s="9">
        <f>C10-C12</f>
        <v>3</v>
      </c>
      <c r="E11" s="9"/>
      <c r="F11" s="1" t="s">
        <v>22</v>
      </c>
      <c r="G11" s="2" t="s">
        <v>60</v>
      </c>
      <c r="H11" s="3" t="s">
        <v>61</v>
      </c>
      <c r="I11" s="3" t="s">
        <v>62</v>
      </c>
      <c r="J11" s="1">
        <v>16600.0</v>
      </c>
      <c r="K11" s="1">
        <v>302.0</v>
      </c>
      <c r="L11" s="1">
        <v>22.0</v>
      </c>
      <c r="M11" s="1">
        <v>24.0</v>
      </c>
      <c r="N11" s="1">
        <v>43.0</v>
      </c>
      <c r="O11" s="9"/>
      <c r="P11" s="9"/>
      <c r="Q11" s="9"/>
      <c r="R11" s="6"/>
      <c r="S11" s="10">
        <f t="shared" si="2"/>
        <v>0.4036144578</v>
      </c>
      <c r="T11" s="10">
        <f t="shared" si="3"/>
        <v>1.819277108</v>
      </c>
      <c r="U11" s="11" t="str">
        <f t="shared" si="4"/>
        <v>#REF!</v>
      </c>
      <c r="V11" s="6"/>
      <c r="W11" s="6"/>
      <c r="X11" s="6"/>
      <c r="Y11" s="6"/>
      <c r="Z11" s="6"/>
      <c r="AA11" s="6"/>
      <c r="AB11" s="6"/>
      <c r="AC11" s="6"/>
      <c r="AD11" s="6"/>
    </row>
    <row r="12" ht="15.75" customHeight="1">
      <c r="A12" s="1">
        <v>11.0</v>
      </c>
      <c r="B12" s="7" t="s">
        <v>63</v>
      </c>
      <c r="C12" s="12">
        <v>46026.0</v>
      </c>
      <c r="D12" s="9">
        <f t="shared" ref="D12:D57" si="5">C12-C13</f>
        <v>5</v>
      </c>
      <c r="E12" s="9"/>
      <c r="F12" s="1" t="s">
        <v>22</v>
      </c>
      <c r="G12" s="2" t="s">
        <v>64</v>
      </c>
      <c r="H12" s="3" t="s">
        <v>65</v>
      </c>
      <c r="I12" s="3" t="s">
        <v>66</v>
      </c>
      <c r="J12" s="1">
        <v>13400.0</v>
      </c>
      <c r="K12" s="1">
        <v>339.0</v>
      </c>
      <c r="L12" s="1">
        <v>39.0</v>
      </c>
      <c r="M12" s="1">
        <v>33.0</v>
      </c>
      <c r="N12" s="1">
        <v>37.0</v>
      </c>
      <c r="O12" s="9"/>
      <c r="P12" s="9"/>
      <c r="Q12" s="9"/>
      <c r="R12" s="6"/>
      <c r="S12" s="10">
        <f t="shared" si="2"/>
        <v>0.5223880597</v>
      </c>
      <c r="T12" s="10">
        <f t="shared" si="3"/>
        <v>2.529850746</v>
      </c>
      <c r="U12" s="11" t="str">
        <f t="shared" si="4"/>
        <v>#REF!</v>
      </c>
      <c r="V12" s="6"/>
      <c r="W12" s="6"/>
      <c r="X12" s="6"/>
      <c r="Y12" s="6"/>
      <c r="Z12" s="6"/>
      <c r="AA12" s="6"/>
      <c r="AB12" s="6"/>
      <c r="AC12" s="6"/>
      <c r="AD12" s="6"/>
    </row>
    <row r="13" ht="15.75" customHeight="1">
      <c r="A13" s="1">
        <v>12.0</v>
      </c>
      <c r="B13" s="7" t="s">
        <v>67</v>
      </c>
      <c r="C13" s="13">
        <v>46021.0</v>
      </c>
      <c r="D13" s="9">
        <f t="shared" si="5"/>
        <v>3</v>
      </c>
      <c r="E13" s="9"/>
      <c r="F13" s="1" t="s">
        <v>22</v>
      </c>
      <c r="G13" s="2" t="s">
        <v>68</v>
      </c>
      <c r="H13" s="3" t="s">
        <v>69</v>
      </c>
      <c r="I13" s="3" t="s">
        <v>70</v>
      </c>
      <c r="J13" s="1">
        <v>39200.0</v>
      </c>
      <c r="K13" s="1">
        <v>653.0</v>
      </c>
      <c r="L13" s="1">
        <v>46.0</v>
      </c>
      <c r="M13" s="1">
        <v>16.0</v>
      </c>
      <c r="N13" s="1">
        <v>18.0</v>
      </c>
      <c r="O13" s="9"/>
      <c r="P13" s="9"/>
      <c r="Q13" s="9"/>
      <c r="R13" s="6"/>
      <c r="S13" s="10">
        <f t="shared" si="2"/>
        <v>0.08673469388</v>
      </c>
      <c r="T13" s="10">
        <f t="shared" si="3"/>
        <v>1.665816327</v>
      </c>
      <c r="U13" s="11" t="str">
        <f t="shared" si="4"/>
        <v>#REF!</v>
      </c>
      <c r="V13" s="6"/>
      <c r="W13" s="6"/>
      <c r="X13" s="6"/>
      <c r="Y13" s="6"/>
      <c r="Z13" s="6"/>
      <c r="AA13" s="6"/>
      <c r="AB13" s="6"/>
      <c r="AC13" s="6"/>
      <c r="AD13" s="6"/>
    </row>
    <row r="14" ht="15.75" customHeight="1">
      <c r="A14" s="1">
        <v>13.0</v>
      </c>
      <c r="B14" s="7" t="s">
        <v>71</v>
      </c>
      <c r="C14" s="13">
        <v>46018.0</v>
      </c>
      <c r="D14" s="9">
        <f t="shared" si="5"/>
        <v>0</v>
      </c>
      <c r="E14" s="9"/>
      <c r="F14" s="1" t="s">
        <v>22</v>
      </c>
      <c r="G14" s="2" t="s">
        <v>72</v>
      </c>
      <c r="H14" s="3" t="s">
        <v>73</v>
      </c>
      <c r="I14" s="3" t="s">
        <v>74</v>
      </c>
      <c r="J14" s="1">
        <v>21100.0</v>
      </c>
      <c r="K14" s="1">
        <v>347.0</v>
      </c>
      <c r="L14" s="1">
        <v>36.0</v>
      </c>
      <c r="M14" s="1">
        <v>20.0</v>
      </c>
      <c r="N14" s="1">
        <v>17.0</v>
      </c>
      <c r="O14" s="9"/>
      <c r="P14" s="9"/>
      <c r="Q14" s="9"/>
      <c r="R14" s="6"/>
      <c r="S14" s="10">
        <f t="shared" si="2"/>
        <v>0.1753554502</v>
      </c>
      <c r="T14" s="10">
        <f t="shared" si="3"/>
        <v>1.644549763</v>
      </c>
      <c r="U14" s="11" t="str">
        <f t="shared" si="4"/>
        <v>#REF!</v>
      </c>
      <c r="V14" s="6"/>
      <c r="W14" s="6"/>
      <c r="X14" s="6"/>
      <c r="Y14" s="6"/>
      <c r="Z14" s="6"/>
      <c r="AA14" s="6"/>
      <c r="AB14" s="6"/>
      <c r="AC14" s="6"/>
      <c r="AD14" s="6"/>
    </row>
    <row r="15" ht="15.75" customHeight="1">
      <c r="A15" s="1">
        <v>14.0</v>
      </c>
      <c r="B15" s="7" t="s">
        <v>75</v>
      </c>
      <c r="C15" s="13">
        <v>46018.0</v>
      </c>
      <c r="D15" s="9">
        <f t="shared" si="5"/>
        <v>1</v>
      </c>
      <c r="E15" s="9"/>
      <c r="F15" s="1" t="s">
        <v>22</v>
      </c>
      <c r="G15" s="2" t="s">
        <v>72</v>
      </c>
      <c r="H15" s="3" t="s">
        <v>76</v>
      </c>
      <c r="I15" s="3" t="s">
        <v>77</v>
      </c>
      <c r="J15" s="1">
        <v>158000.0</v>
      </c>
      <c r="K15" s="1">
        <v>1592.0</v>
      </c>
      <c r="L15" s="1">
        <v>50.0</v>
      </c>
      <c r="M15" s="1">
        <v>31.0</v>
      </c>
      <c r="N15" s="1">
        <v>79.0</v>
      </c>
      <c r="O15" s="9"/>
      <c r="P15" s="9"/>
      <c r="Q15" s="9"/>
      <c r="R15" s="6"/>
      <c r="S15" s="10">
        <f t="shared" si="2"/>
        <v>0.06962025316</v>
      </c>
      <c r="T15" s="10">
        <f t="shared" si="3"/>
        <v>1.007594937</v>
      </c>
      <c r="U15" s="11" t="str">
        <f t="shared" si="4"/>
        <v>#REF!</v>
      </c>
      <c r="V15" s="6"/>
      <c r="W15" s="6"/>
      <c r="X15" s="6"/>
      <c r="Y15" s="6"/>
      <c r="Z15" s="6"/>
      <c r="AA15" s="6"/>
      <c r="AB15" s="6"/>
      <c r="AC15" s="6"/>
      <c r="AD15" s="6"/>
    </row>
    <row r="16" ht="15.75" customHeight="1">
      <c r="A16" s="1">
        <v>15.0</v>
      </c>
      <c r="B16" s="7" t="s">
        <v>78</v>
      </c>
      <c r="C16" s="13">
        <v>46017.0</v>
      </c>
      <c r="D16" s="9">
        <f t="shared" si="5"/>
        <v>2</v>
      </c>
      <c r="E16" s="9"/>
      <c r="F16" s="1" t="s">
        <v>22</v>
      </c>
      <c r="G16" s="2" t="s">
        <v>79</v>
      </c>
      <c r="H16" s="3" t="s">
        <v>80</v>
      </c>
      <c r="I16" s="3" t="s">
        <v>81</v>
      </c>
      <c r="J16" s="1">
        <v>12500.0</v>
      </c>
      <c r="K16" s="1">
        <v>227.0</v>
      </c>
      <c r="L16" s="1">
        <v>11.0</v>
      </c>
      <c r="M16" s="1">
        <v>23.0</v>
      </c>
      <c r="N16" s="1">
        <v>15.0</v>
      </c>
      <c r="O16" s="9"/>
      <c r="P16" s="9"/>
      <c r="Q16" s="9"/>
      <c r="R16" s="6"/>
      <c r="S16" s="10">
        <f t="shared" si="2"/>
        <v>0.304</v>
      </c>
      <c r="T16" s="10">
        <f t="shared" si="3"/>
        <v>1.816</v>
      </c>
      <c r="U16" s="11" t="str">
        <f t="shared" si="4"/>
        <v>#REF!</v>
      </c>
      <c r="V16" s="6"/>
      <c r="W16" s="6"/>
      <c r="X16" s="6"/>
      <c r="Y16" s="6"/>
      <c r="Z16" s="6"/>
      <c r="AA16" s="6"/>
      <c r="AB16" s="6"/>
      <c r="AC16" s="6"/>
      <c r="AD16" s="6"/>
    </row>
    <row r="17" ht="15.75" customHeight="1">
      <c r="A17" s="1">
        <v>16.0</v>
      </c>
      <c r="B17" s="7" t="s">
        <v>82</v>
      </c>
      <c r="C17" s="13">
        <v>46015.0</v>
      </c>
      <c r="D17" s="9">
        <f t="shared" si="5"/>
        <v>2</v>
      </c>
      <c r="E17" s="9"/>
      <c r="F17" s="1" t="s">
        <v>22</v>
      </c>
      <c r="G17" s="2" t="s">
        <v>83</v>
      </c>
      <c r="H17" s="3" t="s">
        <v>84</v>
      </c>
      <c r="I17" s="3" t="s">
        <v>85</v>
      </c>
      <c r="J17" s="1">
        <v>7674.0</v>
      </c>
      <c r="K17" s="1">
        <v>358.0</v>
      </c>
      <c r="L17" s="1">
        <v>32.0</v>
      </c>
      <c r="M17" s="1">
        <v>35.0</v>
      </c>
      <c r="N17" s="1">
        <v>43.0</v>
      </c>
      <c r="O17" s="9"/>
      <c r="P17" s="9"/>
      <c r="Q17" s="9"/>
      <c r="R17" s="6"/>
      <c r="S17" s="10">
        <f t="shared" si="2"/>
        <v>1.016419077</v>
      </c>
      <c r="T17" s="10">
        <f t="shared" si="3"/>
        <v>4.665102945</v>
      </c>
      <c r="U17" s="11" t="str">
        <f t="shared" si="4"/>
        <v>#REF!</v>
      </c>
      <c r="V17" s="6"/>
      <c r="W17" s="6"/>
      <c r="X17" s="6"/>
      <c r="Y17" s="6"/>
      <c r="Z17" s="6"/>
      <c r="AA17" s="6"/>
      <c r="AB17" s="6"/>
      <c r="AC17" s="6"/>
      <c r="AD17" s="6"/>
    </row>
    <row r="18" ht="15.75" customHeight="1">
      <c r="A18" s="1">
        <v>17.0</v>
      </c>
      <c r="B18" s="7" t="s">
        <v>86</v>
      </c>
      <c r="C18" s="13">
        <v>46013.0</v>
      </c>
      <c r="D18" s="9">
        <f t="shared" si="5"/>
        <v>3</v>
      </c>
      <c r="E18" s="9"/>
      <c r="F18" s="1" t="s">
        <v>22</v>
      </c>
      <c r="G18" s="2" t="s">
        <v>87</v>
      </c>
      <c r="H18" s="3" t="s">
        <v>88</v>
      </c>
      <c r="I18" s="3" t="s">
        <v>89</v>
      </c>
      <c r="J18" s="1">
        <v>34100.0</v>
      </c>
      <c r="K18" s="1">
        <v>530.0</v>
      </c>
      <c r="L18" s="1">
        <v>46.0</v>
      </c>
      <c r="M18" s="1">
        <v>36.0</v>
      </c>
      <c r="N18" s="1">
        <v>35.0</v>
      </c>
      <c r="O18" s="9"/>
      <c r="P18" s="9"/>
      <c r="Q18" s="9"/>
      <c r="R18" s="6"/>
      <c r="S18" s="10">
        <f t="shared" si="2"/>
        <v>0.2082111437</v>
      </c>
      <c r="T18" s="10">
        <f t="shared" si="3"/>
        <v>1.554252199</v>
      </c>
      <c r="U18" s="11" t="str">
        <f t="shared" si="4"/>
        <v>#REF!</v>
      </c>
      <c r="V18" s="6"/>
      <c r="W18" s="6"/>
      <c r="X18" s="6"/>
      <c r="Y18" s="6"/>
      <c r="Z18" s="6"/>
      <c r="AA18" s="6"/>
      <c r="AB18" s="6"/>
      <c r="AC18" s="6"/>
      <c r="AD18" s="6"/>
    </row>
    <row r="19" ht="15.75" customHeight="1">
      <c r="A19" s="1">
        <v>18.0</v>
      </c>
      <c r="B19" s="7" t="s">
        <v>90</v>
      </c>
      <c r="C19" s="13">
        <v>46010.0</v>
      </c>
      <c r="D19" s="9">
        <f t="shared" si="5"/>
        <v>2</v>
      </c>
      <c r="E19" s="9"/>
      <c r="F19" s="1" t="s">
        <v>22</v>
      </c>
      <c r="G19" s="2" t="s">
        <v>91</v>
      </c>
      <c r="H19" s="3" t="s">
        <v>92</v>
      </c>
      <c r="I19" s="3" t="s">
        <v>93</v>
      </c>
      <c r="J19" s="1">
        <v>15000.0</v>
      </c>
      <c r="K19" s="1">
        <v>384.0</v>
      </c>
      <c r="L19" s="1">
        <v>44.0</v>
      </c>
      <c r="M19" s="1">
        <v>25.0</v>
      </c>
      <c r="N19" s="1">
        <v>38.0</v>
      </c>
      <c r="O19" s="9"/>
      <c r="P19" s="9"/>
      <c r="Q19" s="9"/>
      <c r="R19" s="6"/>
      <c r="S19" s="10">
        <f t="shared" si="2"/>
        <v>0.42</v>
      </c>
      <c r="T19" s="10">
        <f t="shared" si="3"/>
        <v>2.56</v>
      </c>
      <c r="U19" s="11" t="str">
        <f t="shared" si="4"/>
        <v>#REF!</v>
      </c>
      <c r="V19" s="6"/>
      <c r="W19" s="6"/>
      <c r="X19" s="6"/>
      <c r="Y19" s="6"/>
      <c r="Z19" s="6"/>
      <c r="AA19" s="6"/>
      <c r="AB19" s="6"/>
      <c r="AC19" s="6"/>
      <c r="AD19" s="6"/>
    </row>
    <row r="20" ht="15.75" customHeight="1">
      <c r="A20" s="1">
        <v>19.0</v>
      </c>
      <c r="B20" s="7" t="s">
        <v>94</v>
      </c>
      <c r="C20" s="13">
        <v>46008.0</v>
      </c>
      <c r="D20" s="9">
        <f t="shared" si="5"/>
        <v>5</v>
      </c>
      <c r="E20" s="9"/>
      <c r="F20" s="1" t="s">
        <v>22</v>
      </c>
      <c r="G20" s="2" t="s">
        <v>95</v>
      </c>
      <c r="H20" s="3" t="s">
        <v>96</v>
      </c>
      <c r="I20" s="3" t="s">
        <v>97</v>
      </c>
      <c r="J20" s="1">
        <v>54100.0</v>
      </c>
      <c r="K20" s="1">
        <v>448.0</v>
      </c>
      <c r="L20" s="1">
        <v>30.0</v>
      </c>
      <c r="M20" s="1">
        <v>38.0</v>
      </c>
      <c r="N20" s="1">
        <v>73.0</v>
      </c>
      <c r="O20" s="9"/>
      <c r="P20" s="9"/>
      <c r="Q20" s="9"/>
      <c r="R20" s="6"/>
      <c r="S20" s="10">
        <f t="shared" si="2"/>
        <v>0.2051756007</v>
      </c>
      <c r="T20" s="10">
        <f t="shared" si="3"/>
        <v>0.8280961183</v>
      </c>
      <c r="U20" s="11" t="str">
        <f t="shared" si="4"/>
        <v>#REF!</v>
      </c>
      <c r="V20" s="6"/>
      <c r="W20" s="6"/>
      <c r="X20" s="6"/>
      <c r="Y20" s="6"/>
      <c r="Z20" s="6"/>
      <c r="AA20" s="6"/>
      <c r="AB20" s="6"/>
      <c r="AC20" s="6"/>
      <c r="AD20" s="6"/>
    </row>
    <row r="21" ht="15.75" customHeight="1">
      <c r="A21" s="1">
        <v>20.0</v>
      </c>
      <c r="B21" s="7" t="s">
        <v>98</v>
      </c>
      <c r="C21" s="13">
        <v>46003.0</v>
      </c>
      <c r="D21" s="9">
        <f t="shared" si="5"/>
        <v>3</v>
      </c>
      <c r="E21" s="9"/>
      <c r="F21" s="1" t="s">
        <v>22</v>
      </c>
      <c r="G21" s="2" t="s">
        <v>99</v>
      </c>
      <c r="H21" s="3" t="s">
        <v>100</v>
      </c>
      <c r="I21" s="3" t="s">
        <v>101</v>
      </c>
      <c r="J21" s="1">
        <v>30300.0</v>
      </c>
      <c r="K21" s="1">
        <v>782.0</v>
      </c>
      <c r="L21" s="1">
        <v>134.0</v>
      </c>
      <c r="M21" s="1">
        <v>68.0</v>
      </c>
      <c r="N21" s="1">
        <v>227.0</v>
      </c>
      <c r="O21" s="9"/>
      <c r="P21" s="9"/>
      <c r="Q21" s="9"/>
      <c r="R21" s="6"/>
      <c r="S21" s="10">
        <f t="shared" si="2"/>
        <v>0.9735973597</v>
      </c>
      <c r="T21" s="10">
        <f t="shared" si="3"/>
        <v>2.580858086</v>
      </c>
      <c r="U21" s="11" t="str">
        <f t="shared" si="4"/>
        <v>#REF!</v>
      </c>
      <c r="V21" s="6"/>
      <c r="W21" s="6"/>
      <c r="X21" s="6"/>
      <c r="Y21" s="6"/>
      <c r="Z21" s="6"/>
      <c r="AA21" s="6"/>
      <c r="AB21" s="6"/>
      <c r="AC21" s="6"/>
      <c r="AD21" s="6"/>
    </row>
    <row r="22" ht="15.75" customHeight="1">
      <c r="A22" s="1">
        <v>21.0</v>
      </c>
      <c r="B22" s="7" t="s">
        <v>102</v>
      </c>
      <c r="C22" s="13">
        <v>46000.0</v>
      </c>
      <c r="D22" s="9">
        <f t="shared" si="5"/>
        <v>3</v>
      </c>
      <c r="E22" s="9"/>
      <c r="F22" s="1" t="s">
        <v>22</v>
      </c>
      <c r="G22" s="2" t="s">
        <v>103</v>
      </c>
      <c r="H22" s="3" t="s">
        <v>104</v>
      </c>
      <c r="I22" s="3" t="s">
        <v>105</v>
      </c>
      <c r="J22" s="1">
        <v>21000.0</v>
      </c>
      <c r="K22" s="1">
        <v>440.0</v>
      </c>
      <c r="L22" s="1">
        <v>26.0</v>
      </c>
      <c r="M22" s="1">
        <v>22.0</v>
      </c>
      <c r="N22" s="1">
        <v>16.0</v>
      </c>
      <c r="O22" s="9"/>
      <c r="P22" s="9"/>
      <c r="Q22" s="9"/>
      <c r="R22" s="6"/>
      <c r="S22" s="10">
        <f t="shared" si="2"/>
        <v>0.180952381</v>
      </c>
      <c r="T22" s="10">
        <f t="shared" si="3"/>
        <v>2.095238095</v>
      </c>
      <c r="U22" s="11" t="str">
        <f t="shared" si="4"/>
        <v>#REF!</v>
      </c>
      <c r="V22" s="6"/>
      <c r="W22" s="6"/>
      <c r="X22" s="6"/>
      <c r="Y22" s="6"/>
      <c r="Z22" s="6"/>
      <c r="AA22" s="6"/>
      <c r="AB22" s="6"/>
      <c r="AC22" s="6"/>
      <c r="AD22" s="6"/>
    </row>
    <row r="23" ht="15.75" customHeight="1">
      <c r="A23" s="1">
        <v>22.0</v>
      </c>
      <c r="B23" s="7" t="s">
        <v>106</v>
      </c>
      <c r="C23" s="13">
        <v>45997.0</v>
      </c>
      <c r="D23" s="9">
        <f t="shared" si="5"/>
        <v>1</v>
      </c>
      <c r="E23" s="9"/>
      <c r="F23" s="1" t="s">
        <v>22</v>
      </c>
      <c r="G23" s="2" t="s">
        <v>107</v>
      </c>
      <c r="H23" s="3" t="s">
        <v>108</v>
      </c>
      <c r="I23" s="3" t="s">
        <v>109</v>
      </c>
      <c r="J23" s="1">
        <v>9730.0</v>
      </c>
      <c r="K23" s="1">
        <v>519.0</v>
      </c>
      <c r="L23" s="1">
        <v>50.0</v>
      </c>
      <c r="M23" s="1">
        <v>27.0</v>
      </c>
      <c r="N23" s="1">
        <v>38.0</v>
      </c>
      <c r="O23" s="9"/>
      <c r="P23" s="9"/>
      <c r="Q23" s="9"/>
      <c r="R23" s="6"/>
      <c r="S23" s="10">
        <f t="shared" si="2"/>
        <v>0.668036999</v>
      </c>
      <c r="T23" s="10">
        <f t="shared" si="3"/>
        <v>5.334018499</v>
      </c>
      <c r="U23" s="11" t="str">
        <f t="shared" si="4"/>
        <v>#REF!</v>
      </c>
      <c r="V23" s="6"/>
      <c r="W23" s="6"/>
      <c r="X23" s="6"/>
      <c r="Y23" s="6"/>
      <c r="Z23" s="6"/>
      <c r="AA23" s="6"/>
      <c r="AB23" s="6"/>
      <c r="AC23" s="6"/>
      <c r="AD23" s="6"/>
    </row>
    <row r="24" ht="15.75" customHeight="1">
      <c r="A24" s="1">
        <v>23.0</v>
      </c>
      <c r="B24" s="7" t="s">
        <v>110</v>
      </c>
      <c r="C24" s="13">
        <v>45996.0</v>
      </c>
      <c r="D24" s="9">
        <f t="shared" si="5"/>
        <v>1</v>
      </c>
      <c r="E24" s="9"/>
      <c r="F24" s="1" t="s">
        <v>22</v>
      </c>
      <c r="G24" s="2" t="s">
        <v>111</v>
      </c>
      <c r="H24" s="3" t="s">
        <v>112</v>
      </c>
      <c r="I24" s="3" t="s">
        <v>113</v>
      </c>
      <c r="J24" s="1">
        <v>21500.0</v>
      </c>
      <c r="K24" s="1">
        <v>556.0</v>
      </c>
      <c r="L24" s="1">
        <v>50.0</v>
      </c>
      <c r="M24" s="1">
        <v>29.0</v>
      </c>
      <c r="N24" s="1">
        <v>47.0</v>
      </c>
      <c r="O24" s="9"/>
      <c r="P24" s="9"/>
      <c r="Q24" s="9"/>
      <c r="R24" s="6"/>
      <c r="S24" s="10">
        <f t="shared" si="2"/>
        <v>0.3534883721</v>
      </c>
      <c r="T24" s="10">
        <f t="shared" si="3"/>
        <v>2.586046512</v>
      </c>
      <c r="U24" s="11" t="str">
        <f t="shared" si="4"/>
        <v>#REF!</v>
      </c>
      <c r="V24" s="6"/>
      <c r="W24" s="6"/>
      <c r="X24" s="6"/>
      <c r="Y24" s="6"/>
      <c r="Z24" s="6"/>
      <c r="AA24" s="6"/>
      <c r="AB24" s="6"/>
      <c r="AC24" s="6"/>
      <c r="AD24" s="6"/>
    </row>
    <row r="25" ht="15.75" customHeight="1">
      <c r="A25" s="1">
        <v>24.0</v>
      </c>
      <c r="B25" s="7" t="s">
        <v>114</v>
      </c>
      <c r="C25" s="13">
        <v>45995.0</v>
      </c>
      <c r="D25" s="9">
        <f t="shared" si="5"/>
        <v>2</v>
      </c>
      <c r="E25" s="9"/>
      <c r="F25" s="1" t="s">
        <v>22</v>
      </c>
      <c r="G25" s="2" t="s">
        <v>115</v>
      </c>
      <c r="H25" s="3" t="s">
        <v>116</v>
      </c>
      <c r="I25" s="3" t="s">
        <v>117</v>
      </c>
      <c r="J25" s="1">
        <v>8614.0</v>
      </c>
      <c r="K25" s="1">
        <v>237.0</v>
      </c>
      <c r="L25" s="1">
        <v>19.0</v>
      </c>
      <c r="M25" s="1">
        <v>12.0</v>
      </c>
      <c r="N25" s="1">
        <v>20.0</v>
      </c>
      <c r="O25" s="9"/>
      <c r="P25" s="9"/>
      <c r="Q25" s="9"/>
      <c r="R25" s="6"/>
      <c r="S25" s="10">
        <f t="shared" si="2"/>
        <v>0.3714882749</v>
      </c>
      <c r="T25" s="10">
        <f t="shared" si="3"/>
        <v>2.751335036</v>
      </c>
      <c r="U25" s="11" t="str">
        <f t="shared" si="4"/>
        <v>#REF!</v>
      </c>
      <c r="V25" s="6"/>
      <c r="W25" s="6"/>
      <c r="X25" s="6"/>
      <c r="Y25" s="6"/>
      <c r="Z25" s="6"/>
      <c r="AA25" s="6"/>
      <c r="AB25" s="6"/>
      <c r="AC25" s="6"/>
      <c r="AD25" s="6"/>
    </row>
    <row r="26" ht="15.75" customHeight="1">
      <c r="A26" s="1">
        <v>25.0</v>
      </c>
      <c r="B26" s="7" t="s">
        <v>118</v>
      </c>
      <c r="C26" s="13">
        <v>45993.0</v>
      </c>
      <c r="D26" s="9">
        <f t="shared" si="5"/>
        <v>3</v>
      </c>
      <c r="E26" s="9"/>
      <c r="F26" s="1" t="s">
        <v>22</v>
      </c>
      <c r="G26" s="2" t="s">
        <v>119</v>
      </c>
      <c r="H26" s="3" t="s">
        <v>120</v>
      </c>
      <c r="I26" s="3" t="s">
        <v>121</v>
      </c>
      <c r="J26" s="1">
        <v>8836.0</v>
      </c>
      <c r="K26" s="1">
        <v>277.0</v>
      </c>
      <c r="L26" s="1">
        <v>63.0</v>
      </c>
      <c r="M26" s="1">
        <v>10.0</v>
      </c>
      <c r="N26" s="1">
        <v>19.0</v>
      </c>
      <c r="O26" s="9"/>
      <c r="P26" s="9"/>
      <c r="Q26" s="9"/>
      <c r="R26" s="6"/>
      <c r="S26" s="10">
        <f t="shared" si="2"/>
        <v>0.3282028067</v>
      </c>
      <c r="T26" s="10">
        <f t="shared" si="3"/>
        <v>3.134902671</v>
      </c>
      <c r="U26" s="11" t="str">
        <f t="shared" si="4"/>
        <v>#REF!</v>
      </c>
      <c r="V26" s="6"/>
      <c r="W26" s="6"/>
      <c r="X26" s="6"/>
      <c r="Y26" s="6"/>
      <c r="Z26" s="6"/>
      <c r="AA26" s="6"/>
      <c r="AB26" s="6"/>
      <c r="AC26" s="6"/>
      <c r="AD26" s="6"/>
    </row>
    <row r="27" ht="15.75" customHeight="1">
      <c r="A27" s="1">
        <v>26.0</v>
      </c>
      <c r="B27" s="7" t="s">
        <v>122</v>
      </c>
      <c r="C27" s="13">
        <v>45990.0</v>
      </c>
      <c r="D27" s="9">
        <f t="shared" si="5"/>
        <v>2</v>
      </c>
      <c r="E27" s="9"/>
      <c r="F27" s="1" t="s">
        <v>22</v>
      </c>
      <c r="G27" s="2" t="s">
        <v>123</v>
      </c>
      <c r="H27" s="3" t="s">
        <v>124</v>
      </c>
      <c r="I27" s="3" t="s">
        <v>125</v>
      </c>
      <c r="J27" s="1">
        <v>11600.0</v>
      </c>
      <c r="K27" s="1">
        <v>307.0</v>
      </c>
      <c r="L27" s="1">
        <v>28.0</v>
      </c>
      <c r="M27" s="1">
        <v>26.0</v>
      </c>
      <c r="N27" s="1">
        <v>22.0</v>
      </c>
      <c r="O27" s="9"/>
      <c r="P27" s="9"/>
      <c r="Q27" s="9"/>
      <c r="R27" s="6"/>
      <c r="S27" s="10">
        <f t="shared" si="2"/>
        <v>0.4137931034</v>
      </c>
      <c r="T27" s="10">
        <f t="shared" si="3"/>
        <v>2.646551724</v>
      </c>
      <c r="U27" s="11" t="str">
        <f t="shared" si="4"/>
        <v>#REF!</v>
      </c>
      <c r="V27" s="6"/>
      <c r="W27" s="6"/>
      <c r="X27" s="6"/>
      <c r="Y27" s="6"/>
      <c r="Z27" s="6"/>
      <c r="AA27" s="6"/>
      <c r="AB27" s="6"/>
      <c r="AC27" s="6"/>
      <c r="AD27" s="6"/>
    </row>
    <row r="28" ht="15.75" customHeight="1">
      <c r="A28" s="1">
        <v>27.0</v>
      </c>
      <c r="B28" s="7" t="s">
        <v>126</v>
      </c>
      <c r="C28" s="14">
        <v>45988.0</v>
      </c>
      <c r="D28" s="9">
        <f t="shared" si="5"/>
        <v>2</v>
      </c>
      <c r="E28" s="9"/>
      <c r="F28" s="1" t="s">
        <v>22</v>
      </c>
      <c r="G28" s="2" t="s">
        <v>127</v>
      </c>
      <c r="H28" s="3" t="s">
        <v>128</v>
      </c>
      <c r="I28" s="3" t="s">
        <v>129</v>
      </c>
      <c r="J28" s="1">
        <v>46800.0</v>
      </c>
      <c r="K28" s="1">
        <v>507.0</v>
      </c>
      <c r="L28" s="1">
        <v>38.0</v>
      </c>
      <c r="M28" s="1">
        <v>26.0</v>
      </c>
      <c r="N28" s="1">
        <v>46.0</v>
      </c>
      <c r="O28" s="9"/>
      <c r="P28" s="9"/>
      <c r="Q28" s="9"/>
      <c r="R28" s="6"/>
      <c r="S28" s="10">
        <f t="shared" si="2"/>
        <v>0.1538461538</v>
      </c>
      <c r="T28" s="10">
        <f t="shared" si="3"/>
        <v>1.083333333</v>
      </c>
      <c r="U28" s="11" t="str">
        <f t="shared" si="4"/>
        <v>#REF!</v>
      </c>
      <c r="V28" s="6"/>
      <c r="W28" s="6"/>
      <c r="X28" s="6"/>
      <c r="Y28" s="6"/>
      <c r="Z28" s="6"/>
      <c r="AA28" s="6"/>
      <c r="AB28" s="6"/>
      <c r="AC28" s="6"/>
      <c r="AD28" s="6"/>
    </row>
    <row r="29" ht="15.75" customHeight="1">
      <c r="A29" s="1">
        <v>28.0</v>
      </c>
      <c r="B29" s="7" t="s">
        <v>130</v>
      </c>
      <c r="C29" s="13">
        <v>45986.0</v>
      </c>
      <c r="D29" s="9">
        <f t="shared" si="5"/>
        <v>1</v>
      </c>
      <c r="E29" s="9"/>
      <c r="F29" s="1" t="s">
        <v>22</v>
      </c>
      <c r="G29" s="2" t="s">
        <v>131</v>
      </c>
      <c r="H29" s="3" t="s">
        <v>132</v>
      </c>
      <c r="I29" s="3" t="s">
        <v>133</v>
      </c>
      <c r="J29" s="1">
        <v>11800.0</v>
      </c>
      <c r="K29" s="1">
        <v>175.0</v>
      </c>
      <c r="L29" s="1">
        <v>24.0</v>
      </c>
      <c r="M29" s="1">
        <v>27.0</v>
      </c>
      <c r="N29" s="1">
        <v>33.0</v>
      </c>
      <c r="O29" s="9"/>
      <c r="P29" s="9"/>
      <c r="Q29" s="9"/>
      <c r="R29" s="6"/>
      <c r="S29" s="10">
        <f t="shared" si="2"/>
        <v>0.5084745763</v>
      </c>
      <c r="T29" s="10">
        <f t="shared" si="3"/>
        <v>1.483050847</v>
      </c>
      <c r="U29" s="11" t="str">
        <f t="shared" si="4"/>
        <v>#REF!</v>
      </c>
      <c r="V29" s="6"/>
      <c r="W29" s="6"/>
      <c r="X29" s="6"/>
      <c r="Y29" s="6"/>
      <c r="Z29" s="6"/>
      <c r="AA29" s="6"/>
      <c r="AB29" s="6"/>
      <c r="AC29" s="6"/>
      <c r="AD29" s="6"/>
    </row>
    <row r="30" ht="15.75" customHeight="1">
      <c r="A30" s="1">
        <v>29.0</v>
      </c>
      <c r="B30" s="7" t="s">
        <v>134</v>
      </c>
      <c r="C30" s="14">
        <v>45985.0</v>
      </c>
      <c r="D30" s="9">
        <f t="shared" si="5"/>
        <v>1</v>
      </c>
      <c r="E30" s="9"/>
      <c r="F30" s="1" t="s">
        <v>22</v>
      </c>
      <c r="G30" s="2" t="s">
        <v>135</v>
      </c>
      <c r="H30" s="3" t="s">
        <v>136</v>
      </c>
      <c r="I30" s="3" t="s">
        <v>137</v>
      </c>
      <c r="J30" s="1">
        <v>26500.0</v>
      </c>
      <c r="K30" s="1">
        <v>239.0</v>
      </c>
      <c r="L30" s="1">
        <v>22.0</v>
      </c>
      <c r="M30" s="1">
        <v>9.0</v>
      </c>
      <c r="N30" s="1">
        <v>19.0</v>
      </c>
      <c r="O30" s="9"/>
      <c r="P30" s="9"/>
      <c r="Q30" s="9"/>
      <c r="R30" s="6"/>
      <c r="S30" s="10">
        <f t="shared" si="2"/>
        <v>0.1056603774</v>
      </c>
      <c r="T30" s="10">
        <f t="shared" si="3"/>
        <v>0.9018867925</v>
      </c>
      <c r="U30" s="11" t="str">
        <f t="shared" si="4"/>
        <v>#REF!</v>
      </c>
      <c r="V30" s="6"/>
      <c r="W30" s="6"/>
      <c r="X30" s="6"/>
      <c r="Y30" s="6"/>
      <c r="Z30" s="6"/>
      <c r="AA30" s="6"/>
      <c r="AB30" s="6"/>
      <c r="AC30" s="6"/>
      <c r="AD30" s="6"/>
    </row>
    <row r="31" ht="15.75" customHeight="1">
      <c r="A31" s="1">
        <v>30.0</v>
      </c>
      <c r="B31" s="7" t="s">
        <v>138</v>
      </c>
      <c r="C31" s="13">
        <v>45984.0</v>
      </c>
      <c r="D31" s="9">
        <f t="shared" si="5"/>
        <v>2</v>
      </c>
      <c r="E31" s="9"/>
      <c r="F31" s="1" t="s">
        <v>22</v>
      </c>
      <c r="G31" s="2" t="s">
        <v>135</v>
      </c>
      <c r="H31" s="3" t="s">
        <v>139</v>
      </c>
      <c r="I31" s="3" t="s">
        <v>140</v>
      </c>
      <c r="J31" s="1">
        <v>6844.0</v>
      </c>
      <c r="K31" s="1">
        <v>278.0</v>
      </c>
      <c r="L31" s="1">
        <v>25.0</v>
      </c>
      <c r="M31" s="1">
        <v>9.0</v>
      </c>
      <c r="N31" s="1">
        <v>14.0</v>
      </c>
      <c r="O31" s="9"/>
      <c r="P31" s="9"/>
      <c r="Q31" s="9"/>
      <c r="R31" s="6"/>
      <c r="S31" s="10">
        <f t="shared" si="2"/>
        <v>0.3360607832</v>
      </c>
      <c r="T31" s="10">
        <f t="shared" si="3"/>
        <v>4.061952075</v>
      </c>
      <c r="U31" s="11" t="str">
        <f t="shared" si="4"/>
        <v>#REF!</v>
      </c>
      <c r="V31" s="6"/>
      <c r="W31" s="6"/>
      <c r="X31" s="6"/>
      <c r="Y31" s="6"/>
      <c r="Z31" s="6"/>
      <c r="AA31" s="6"/>
      <c r="AB31" s="6"/>
      <c r="AC31" s="6"/>
      <c r="AD31" s="6"/>
    </row>
    <row r="32" ht="15.75" customHeight="1">
      <c r="A32" s="1">
        <v>31.0</v>
      </c>
      <c r="B32" s="7" t="s">
        <v>141</v>
      </c>
      <c r="C32" s="13">
        <v>45982.0</v>
      </c>
      <c r="D32" s="9">
        <f t="shared" si="5"/>
        <v>1</v>
      </c>
      <c r="E32" s="9"/>
      <c r="F32" s="1" t="s">
        <v>22</v>
      </c>
      <c r="G32" s="2" t="s">
        <v>142</v>
      </c>
      <c r="H32" s="3" t="s">
        <v>143</v>
      </c>
      <c r="I32" s="3" t="s">
        <v>144</v>
      </c>
      <c r="J32" s="1">
        <v>7810.0</v>
      </c>
      <c r="K32" s="1">
        <v>101.0</v>
      </c>
      <c r="L32" s="1">
        <v>39.0</v>
      </c>
      <c r="M32" s="1">
        <v>6.0</v>
      </c>
      <c r="N32" s="1">
        <v>0.0</v>
      </c>
      <c r="O32" s="9"/>
      <c r="P32" s="9"/>
      <c r="Q32" s="9"/>
      <c r="R32" s="6"/>
      <c r="S32" s="10">
        <f t="shared" si="2"/>
        <v>0.07682458387</v>
      </c>
      <c r="T32" s="10">
        <f t="shared" si="3"/>
        <v>1.293213828</v>
      </c>
      <c r="U32" s="11" t="str">
        <f t="shared" si="4"/>
        <v>#REF!</v>
      </c>
      <c r="V32" s="6"/>
      <c r="W32" s="6"/>
      <c r="X32" s="6"/>
      <c r="Y32" s="6"/>
      <c r="Z32" s="6"/>
      <c r="AA32" s="6"/>
      <c r="AB32" s="6"/>
      <c r="AC32" s="6"/>
      <c r="AD32" s="6"/>
    </row>
    <row r="33" ht="15.75" customHeight="1">
      <c r="A33" s="1">
        <v>32.0</v>
      </c>
      <c r="B33" s="7" t="s">
        <v>145</v>
      </c>
      <c r="C33" s="13">
        <v>45981.0</v>
      </c>
      <c r="D33" s="9">
        <f t="shared" si="5"/>
        <v>6</v>
      </c>
      <c r="E33" s="9"/>
      <c r="F33" s="1" t="s">
        <v>22</v>
      </c>
      <c r="G33" s="2" t="s">
        <v>146</v>
      </c>
      <c r="H33" s="3" t="s">
        <v>147</v>
      </c>
      <c r="I33" s="3" t="s">
        <v>148</v>
      </c>
      <c r="J33" s="1">
        <v>10100.0</v>
      </c>
      <c r="K33" s="1">
        <v>315.0</v>
      </c>
      <c r="L33" s="1">
        <v>40.0</v>
      </c>
      <c r="M33" s="1">
        <v>14.0</v>
      </c>
      <c r="N33" s="1">
        <v>11.0</v>
      </c>
      <c r="O33" s="9"/>
      <c r="P33" s="9"/>
      <c r="Q33" s="9"/>
      <c r="R33" s="6"/>
      <c r="S33" s="10">
        <f t="shared" si="2"/>
        <v>0.2475247525</v>
      </c>
      <c r="T33" s="10">
        <f t="shared" si="3"/>
        <v>3.118811881</v>
      </c>
      <c r="U33" s="11" t="str">
        <f t="shared" si="4"/>
        <v>#REF!</v>
      </c>
      <c r="V33" s="6"/>
      <c r="W33" s="6"/>
      <c r="X33" s="6"/>
      <c r="Y33" s="6"/>
      <c r="Z33" s="6"/>
      <c r="AA33" s="6"/>
      <c r="AB33" s="6"/>
      <c r="AC33" s="6"/>
      <c r="AD33" s="6"/>
    </row>
    <row r="34" ht="15.75" customHeight="1">
      <c r="A34" s="1">
        <v>33.0</v>
      </c>
      <c r="B34" s="7" t="s">
        <v>149</v>
      </c>
      <c r="C34" s="13">
        <v>45975.0</v>
      </c>
      <c r="D34" s="9">
        <f t="shared" si="5"/>
        <v>3</v>
      </c>
      <c r="E34" s="9"/>
      <c r="F34" s="1" t="s">
        <v>22</v>
      </c>
      <c r="G34" s="2" t="s">
        <v>150</v>
      </c>
      <c r="H34" s="3" t="s">
        <v>151</v>
      </c>
      <c r="I34" s="3" t="s">
        <v>152</v>
      </c>
      <c r="J34" s="1">
        <v>8538.0</v>
      </c>
      <c r="K34" s="1">
        <v>366.0</v>
      </c>
      <c r="L34" s="1">
        <v>38.0</v>
      </c>
      <c r="M34" s="1">
        <v>15.0</v>
      </c>
      <c r="N34" s="1">
        <v>20.0</v>
      </c>
      <c r="O34" s="9"/>
      <c r="P34" s="9"/>
      <c r="Q34" s="9"/>
      <c r="R34" s="6"/>
      <c r="S34" s="10">
        <f t="shared" si="2"/>
        <v>0.4099320684</v>
      </c>
      <c r="T34" s="10">
        <f t="shared" si="3"/>
        <v>4.286718201</v>
      </c>
      <c r="U34" s="11" t="str">
        <f t="shared" si="4"/>
        <v>#REF!</v>
      </c>
      <c r="V34" s="6"/>
      <c r="W34" s="6"/>
      <c r="X34" s="6"/>
      <c r="Y34" s="6"/>
      <c r="Z34" s="6"/>
      <c r="AA34" s="6"/>
      <c r="AB34" s="6"/>
      <c r="AC34" s="6"/>
      <c r="AD34" s="6"/>
    </row>
    <row r="35" ht="15.75" customHeight="1">
      <c r="A35" s="1">
        <v>34.0</v>
      </c>
      <c r="B35" s="7" t="s">
        <v>153</v>
      </c>
      <c r="C35" s="13">
        <v>45972.0</v>
      </c>
      <c r="D35" s="9">
        <f t="shared" si="5"/>
        <v>0</v>
      </c>
      <c r="E35" s="9"/>
      <c r="F35" s="1" t="s">
        <v>22</v>
      </c>
      <c r="G35" s="2" t="s">
        <v>154</v>
      </c>
      <c r="H35" s="3" t="s">
        <v>155</v>
      </c>
      <c r="I35" s="3" t="s">
        <v>156</v>
      </c>
      <c r="J35" s="1">
        <v>14200.0</v>
      </c>
      <c r="K35" s="1">
        <v>274.0</v>
      </c>
      <c r="L35" s="1">
        <v>17.0</v>
      </c>
      <c r="M35" s="1">
        <v>19.0</v>
      </c>
      <c r="N35" s="1">
        <v>8.0</v>
      </c>
      <c r="O35" s="9"/>
      <c r="P35" s="9"/>
      <c r="Q35" s="9"/>
      <c r="R35" s="6"/>
      <c r="S35" s="10">
        <f t="shared" si="2"/>
        <v>0.1901408451</v>
      </c>
      <c r="T35" s="10">
        <f t="shared" si="3"/>
        <v>1.929577465</v>
      </c>
      <c r="U35" s="11" t="str">
        <f t="shared" si="4"/>
        <v>#REF!</v>
      </c>
      <c r="V35" s="6"/>
      <c r="W35" s="6"/>
      <c r="X35" s="6"/>
      <c r="Y35" s="6"/>
      <c r="Z35" s="6"/>
      <c r="AA35" s="6"/>
      <c r="AB35" s="6"/>
      <c r="AC35" s="6"/>
      <c r="AD35" s="6"/>
    </row>
    <row r="36" ht="15.75" customHeight="1">
      <c r="A36" s="1">
        <v>35.0</v>
      </c>
      <c r="B36" s="7" t="s">
        <v>157</v>
      </c>
      <c r="C36" s="13">
        <v>45972.0</v>
      </c>
      <c r="D36" s="9">
        <f t="shared" si="5"/>
        <v>5</v>
      </c>
      <c r="E36" s="9"/>
      <c r="F36" s="1" t="s">
        <v>22</v>
      </c>
      <c r="G36" s="2" t="s">
        <v>154</v>
      </c>
      <c r="H36" s="3" t="s">
        <v>158</v>
      </c>
      <c r="I36" s="3" t="s">
        <v>159</v>
      </c>
      <c r="J36" s="1">
        <v>16200.0</v>
      </c>
      <c r="K36" s="1">
        <v>440.0</v>
      </c>
      <c r="L36" s="1">
        <v>42.0</v>
      </c>
      <c r="M36" s="1">
        <v>51.0</v>
      </c>
      <c r="N36" s="1">
        <v>61.0</v>
      </c>
      <c r="O36" s="9"/>
      <c r="P36" s="9"/>
      <c r="Q36" s="9"/>
      <c r="R36" s="6"/>
      <c r="S36" s="10">
        <f t="shared" si="2"/>
        <v>0.6913580247</v>
      </c>
      <c r="T36" s="10">
        <f t="shared" si="3"/>
        <v>2.716049383</v>
      </c>
      <c r="U36" s="11" t="str">
        <f t="shared" si="4"/>
        <v>#REF!</v>
      </c>
      <c r="V36" s="6"/>
      <c r="W36" s="6"/>
      <c r="X36" s="6"/>
      <c r="Y36" s="6"/>
      <c r="Z36" s="6"/>
      <c r="AA36" s="6"/>
      <c r="AB36" s="6"/>
      <c r="AC36" s="6"/>
      <c r="AD36" s="6"/>
    </row>
    <row r="37" ht="15.75" customHeight="1">
      <c r="A37" s="1">
        <v>36.0</v>
      </c>
      <c r="B37" s="7" t="s">
        <v>160</v>
      </c>
      <c r="C37" s="13">
        <v>45967.0</v>
      </c>
      <c r="D37" s="9">
        <f t="shared" si="5"/>
        <v>4</v>
      </c>
      <c r="E37" s="9"/>
      <c r="F37" s="1" t="s">
        <v>22</v>
      </c>
      <c r="G37" s="2" t="s">
        <v>161</v>
      </c>
      <c r="H37" s="3" t="s">
        <v>162</v>
      </c>
      <c r="I37" s="3" t="s">
        <v>163</v>
      </c>
      <c r="J37" s="1">
        <v>20100.0</v>
      </c>
      <c r="K37" s="1">
        <v>546.0</v>
      </c>
      <c r="L37" s="1">
        <v>48.0</v>
      </c>
      <c r="M37" s="1">
        <v>46.0</v>
      </c>
      <c r="N37" s="1">
        <v>47.0</v>
      </c>
      <c r="O37" s="9"/>
      <c r="P37" s="9"/>
      <c r="Q37" s="9"/>
      <c r="R37" s="6"/>
      <c r="S37" s="10">
        <f t="shared" si="2"/>
        <v>0.4626865672</v>
      </c>
      <c r="T37" s="10">
        <f t="shared" si="3"/>
        <v>2.71641791</v>
      </c>
      <c r="U37" s="11" t="str">
        <f t="shared" si="4"/>
        <v>#REF!</v>
      </c>
      <c r="V37" s="6"/>
      <c r="W37" s="6"/>
      <c r="X37" s="6"/>
      <c r="Y37" s="6"/>
      <c r="Z37" s="6"/>
      <c r="AA37" s="6"/>
      <c r="AB37" s="6"/>
      <c r="AC37" s="6"/>
      <c r="AD37" s="6"/>
    </row>
    <row r="38" ht="15.75" customHeight="1">
      <c r="A38" s="1">
        <v>37.0</v>
      </c>
      <c r="B38" s="7" t="s">
        <v>164</v>
      </c>
      <c r="C38" s="13">
        <v>45963.0</v>
      </c>
      <c r="D38" s="9">
        <f t="shared" si="5"/>
        <v>5</v>
      </c>
      <c r="E38" s="9"/>
      <c r="F38" s="1" t="s">
        <v>22</v>
      </c>
      <c r="G38" s="2" t="s">
        <v>165</v>
      </c>
      <c r="H38" s="3" t="s">
        <v>166</v>
      </c>
      <c r="I38" s="3" t="s">
        <v>167</v>
      </c>
      <c r="J38" s="1">
        <v>18000.0</v>
      </c>
      <c r="K38" s="1">
        <v>102.0</v>
      </c>
      <c r="L38" s="1">
        <v>39.0</v>
      </c>
      <c r="M38" s="1">
        <v>10.0</v>
      </c>
      <c r="N38" s="1">
        <v>0.0</v>
      </c>
      <c r="O38" s="9"/>
      <c r="P38" s="9"/>
      <c r="Q38" s="9"/>
      <c r="R38" s="6"/>
      <c r="S38" s="10">
        <f t="shared" si="2"/>
        <v>0.05555555556</v>
      </c>
      <c r="T38" s="10">
        <f t="shared" si="3"/>
        <v>0.5666666667</v>
      </c>
      <c r="U38" s="11" t="str">
        <f t="shared" si="4"/>
        <v>#REF!</v>
      </c>
      <c r="V38" s="6"/>
      <c r="W38" s="6"/>
      <c r="X38" s="6"/>
      <c r="Y38" s="6"/>
      <c r="Z38" s="6"/>
      <c r="AA38" s="6"/>
      <c r="AB38" s="6"/>
      <c r="AC38" s="6"/>
      <c r="AD38" s="6"/>
    </row>
    <row r="39" ht="15.75" customHeight="1">
      <c r="A39" s="1">
        <v>38.0</v>
      </c>
      <c r="B39" s="7" t="s">
        <v>168</v>
      </c>
      <c r="C39" s="13">
        <v>45958.0</v>
      </c>
      <c r="D39" s="9">
        <f t="shared" si="5"/>
        <v>2</v>
      </c>
      <c r="E39" s="9"/>
      <c r="F39" s="1" t="s">
        <v>22</v>
      </c>
      <c r="G39" s="2" t="s">
        <v>87</v>
      </c>
      <c r="H39" s="3" t="s">
        <v>169</v>
      </c>
      <c r="I39" s="3" t="s">
        <v>170</v>
      </c>
      <c r="J39" s="1">
        <v>17000.0</v>
      </c>
      <c r="K39" s="1">
        <v>558.0</v>
      </c>
      <c r="L39" s="1">
        <v>39.0</v>
      </c>
      <c r="M39" s="1">
        <v>15.0</v>
      </c>
      <c r="N39" s="1">
        <v>55.0</v>
      </c>
      <c r="O39" s="9"/>
      <c r="P39" s="9"/>
      <c r="Q39" s="9"/>
      <c r="R39" s="6"/>
      <c r="S39" s="10">
        <f t="shared" si="2"/>
        <v>0.4117647059</v>
      </c>
      <c r="T39" s="10">
        <f t="shared" si="3"/>
        <v>3.282352941</v>
      </c>
      <c r="U39" s="11" t="str">
        <f t="shared" si="4"/>
        <v>#REF!</v>
      </c>
      <c r="V39" s="6"/>
      <c r="W39" s="6"/>
      <c r="X39" s="6"/>
      <c r="Y39" s="6"/>
      <c r="Z39" s="6"/>
      <c r="AA39" s="6"/>
      <c r="AB39" s="6"/>
      <c r="AC39" s="6"/>
      <c r="AD39" s="6"/>
    </row>
    <row r="40" ht="15.75" customHeight="1">
      <c r="A40" s="1">
        <v>39.0</v>
      </c>
      <c r="B40" s="7" t="s">
        <v>171</v>
      </c>
      <c r="C40" s="13">
        <v>45956.0</v>
      </c>
      <c r="D40" s="9">
        <f t="shared" si="5"/>
        <v>5</v>
      </c>
      <c r="E40" s="9"/>
      <c r="F40" s="1" t="s">
        <v>22</v>
      </c>
      <c r="G40" s="2" t="s">
        <v>172</v>
      </c>
      <c r="H40" s="3" t="s">
        <v>173</v>
      </c>
      <c r="I40" s="3" t="s">
        <v>174</v>
      </c>
      <c r="J40" s="1">
        <v>10500.0</v>
      </c>
      <c r="K40" s="1">
        <v>306.0</v>
      </c>
      <c r="L40" s="1">
        <v>24.0</v>
      </c>
      <c r="M40" s="1">
        <v>18.0</v>
      </c>
      <c r="N40" s="1">
        <v>27.0</v>
      </c>
      <c r="O40" s="9"/>
      <c r="P40" s="9"/>
      <c r="Q40" s="9"/>
      <c r="R40" s="6"/>
      <c r="S40" s="10">
        <f t="shared" si="2"/>
        <v>0.4285714286</v>
      </c>
      <c r="T40" s="10">
        <f t="shared" si="3"/>
        <v>2.914285714</v>
      </c>
      <c r="U40" s="11" t="str">
        <f t="shared" si="4"/>
        <v>#REF!</v>
      </c>
      <c r="V40" s="6"/>
      <c r="W40" s="6"/>
      <c r="X40" s="6"/>
      <c r="Y40" s="6"/>
      <c r="Z40" s="6"/>
      <c r="AA40" s="6"/>
      <c r="AB40" s="6"/>
      <c r="AC40" s="6"/>
      <c r="AD40" s="6"/>
    </row>
    <row r="41" ht="15.75" customHeight="1">
      <c r="A41" s="1">
        <v>40.0</v>
      </c>
      <c r="B41" s="7" t="s">
        <v>175</v>
      </c>
      <c r="C41" s="13">
        <v>45951.0</v>
      </c>
      <c r="D41" s="9">
        <f t="shared" si="5"/>
        <v>3</v>
      </c>
      <c r="E41" s="9"/>
      <c r="F41" s="1" t="s">
        <v>22</v>
      </c>
      <c r="G41" s="2" t="s">
        <v>176</v>
      </c>
      <c r="H41" s="3" t="s">
        <v>177</v>
      </c>
      <c r="I41" s="3" t="s">
        <v>178</v>
      </c>
      <c r="J41" s="1">
        <v>6828.0</v>
      </c>
      <c r="K41" s="1">
        <v>176.0</v>
      </c>
      <c r="L41" s="1">
        <v>9.0</v>
      </c>
      <c r="M41" s="1">
        <v>16.0</v>
      </c>
      <c r="N41" s="1">
        <v>13.0</v>
      </c>
      <c r="O41" s="9"/>
      <c r="P41" s="9"/>
      <c r="Q41" s="9"/>
      <c r="R41" s="6"/>
      <c r="S41" s="10">
        <f t="shared" si="2"/>
        <v>0.424721734</v>
      </c>
      <c r="T41" s="10">
        <f t="shared" si="3"/>
        <v>2.577621558</v>
      </c>
      <c r="U41" s="11" t="str">
        <f t="shared" si="4"/>
        <v>#REF!</v>
      </c>
      <c r="V41" s="6"/>
      <c r="W41" s="6"/>
      <c r="X41" s="6"/>
      <c r="Y41" s="6"/>
      <c r="Z41" s="6"/>
      <c r="AA41" s="6"/>
      <c r="AB41" s="6"/>
      <c r="AC41" s="6"/>
      <c r="AD41" s="6"/>
    </row>
    <row r="42" ht="15.75" customHeight="1">
      <c r="A42" s="1">
        <v>41.0</v>
      </c>
      <c r="B42" s="7" t="s">
        <v>179</v>
      </c>
      <c r="C42" s="13">
        <v>45948.0</v>
      </c>
      <c r="D42" s="9">
        <f t="shared" si="5"/>
        <v>3</v>
      </c>
      <c r="E42" s="9"/>
      <c r="F42" s="1" t="s">
        <v>22</v>
      </c>
      <c r="G42" s="2" t="s">
        <v>180</v>
      </c>
      <c r="H42" s="3" t="s">
        <v>181</v>
      </c>
      <c r="I42" s="3" t="s">
        <v>182</v>
      </c>
      <c r="J42" s="1">
        <v>25200.0</v>
      </c>
      <c r="K42" s="1">
        <v>747.0</v>
      </c>
      <c r="L42" s="1">
        <v>41.0</v>
      </c>
      <c r="M42" s="1">
        <v>69.0</v>
      </c>
      <c r="N42" s="1">
        <v>76.0</v>
      </c>
      <c r="O42" s="9"/>
      <c r="P42" s="9"/>
      <c r="Q42" s="9"/>
      <c r="R42" s="6"/>
      <c r="S42" s="10">
        <f t="shared" si="2"/>
        <v>0.5753968254</v>
      </c>
      <c r="T42" s="10">
        <f t="shared" si="3"/>
        <v>2.964285714</v>
      </c>
      <c r="U42" s="11" t="str">
        <f t="shared" si="4"/>
        <v>#REF!</v>
      </c>
      <c r="V42" s="6"/>
      <c r="W42" s="6"/>
      <c r="X42" s="6"/>
      <c r="Y42" s="6"/>
      <c r="Z42" s="6"/>
      <c r="AA42" s="6"/>
      <c r="AB42" s="6"/>
      <c r="AC42" s="6"/>
      <c r="AD42" s="6"/>
    </row>
    <row r="43" ht="15.75" customHeight="1">
      <c r="A43" s="1">
        <v>42.0</v>
      </c>
      <c r="B43" s="7" t="s">
        <v>183</v>
      </c>
      <c r="C43" s="13">
        <v>45945.0</v>
      </c>
      <c r="D43" s="9">
        <f t="shared" si="5"/>
        <v>1</v>
      </c>
      <c r="E43" s="9"/>
      <c r="F43" s="1" t="s">
        <v>22</v>
      </c>
      <c r="G43" s="2" t="s">
        <v>184</v>
      </c>
      <c r="H43" s="3" t="s">
        <v>185</v>
      </c>
      <c r="I43" s="3" t="s">
        <v>186</v>
      </c>
      <c r="J43" s="1">
        <v>10900.0</v>
      </c>
      <c r="K43" s="1">
        <v>246.0</v>
      </c>
      <c r="L43" s="1">
        <v>12.0</v>
      </c>
      <c r="M43" s="1">
        <v>12.0</v>
      </c>
      <c r="N43" s="1">
        <v>62.0</v>
      </c>
      <c r="O43" s="9"/>
      <c r="P43" s="9"/>
      <c r="Q43" s="9"/>
      <c r="R43" s="6"/>
      <c r="S43" s="10">
        <f t="shared" si="2"/>
        <v>0.6788990826</v>
      </c>
      <c r="T43" s="10">
        <f t="shared" si="3"/>
        <v>2.256880734</v>
      </c>
      <c r="U43" s="11" t="str">
        <f t="shared" si="4"/>
        <v>#REF!</v>
      </c>
      <c r="V43" s="6"/>
      <c r="W43" s="6"/>
      <c r="X43" s="6"/>
      <c r="Y43" s="6"/>
      <c r="Z43" s="6"/>
      <c r="AA43" s="6"/>
      <c r="AB43" s="6"/>
      <c r="AC43" s="6"/>
      <c r="AD43" s="6"/>
    </row>
    <row r="44" ht="15.75" customHeight="1">
      <c r="A44" s="1">
        <v>43.0</v>
      </c>
      <c r="B44" s="15" t="s">
        <v>187</v>
      </c>
      <c r="C44" s="13">
        <v>45944.0</v>
      </c>
      <c r="D44" s="9">
        <f t="shared" si="5"/>
        <v>2</v>
      </c>
      <c r="E44" s="9"/>
      <c r="F44" s="1" t="s">
        <v>22</v>
      </c>
      <c r="G44" s="2" t="s">
        <v>188</v>
      </c>
      <c r="H44" s="3" t="s">
        <v>189</v>
      </c>
      <c r="I44" s="3" t="s">
        <v>190</v>
      </c>
      <c r="J44" s="1">
        <v>6386.0</v>
      </c>
      <c r="K44" s="1">
        <v>100.0</v>
      </c>
      <c r="L44" s="1">
        <v>10.0</v>
      </c>
      <c r="M44" s="1">
        <v>1.0</v>
      </c>
      <c r="N44" s="1">
        <v>0.0</v>
      </c>
      <c r="O44" s="9"/>
      <c r="P44" s="9"/>
      <c r="Q44" s="9"/>
      <c r="R44" s="6"/>
      <c r="S44" s="10">
        <f t="shared" si="2"/>
        <v>0.01565925462</v>
      </c>
      <c r="T44" s="10">
        <f t="shared" si="3"/>
        <v>1.565925462</v>
      </c>
      <c r="U44" s="11" t="str">
        <f t="shared" si="4"/>
        <v>#REF!</v>
      </c>
      <c r="V44" s="6"/>
      <c r="W44" s="6"/>
      <c r="X44" s="6"/>
      <c r="Y44" s="6"/>
      <c r="Z44" s="6"/>
      <c r="AA44" s="6"/>
      <c r="AB44" s="6"/>
      <c r="AC44" s="6"/>
      <c r="AD44" s="6"/>
    </row>
    <row r="45" ht="15.75" customHeight="1">
      <c r="A45" s="1">
        <v>44.0</v>
      </c>
      <c r="B45" s="7" t="s">
        <v>191</v>
      </c>
      <c r="C45" s="13">
        <v>45942.0</v>
      </c>
      <c r="D45" s="9">
        <f t="shared" si="5"/>
        <v>3</v>
      </c>
      <c r="E45" s="9"/>
      <c r="F45" s="1" t="s">
        <v>22</v>
      </c>
      <c r="G45" s="2" t="s">
        <v>192</v>
      </c>
      <c r="H45" s="3" t="s">
        <v>193</v>
      </c>
      <c r="I45" s="3" t="s">
        <v>194</v>
      </c>
      <c r="J45" s="1">
        <v>13300.0</v>
      </c>
      <c r="K45" s="1">
        <v>379.0</v>
      </c>
      <c r="L45" s="1">
        <v>42.0</v>
      </c>
      <c r="M45" s="1">
        <v>20.0</v>
      </c>
      <c r="N45" s="1">
        <v>57.0</v>
      </c>
      <c r="O45" s="9"/>
      <c r="P45" s="9"/>
      <c r="Q45" s="9"/>
      <c r="R45" s="6"/>
      <c r="S45" s="10">
        <f t="shared" si="2"/>
        <v>0.5789473684</v>
      </c>
      <c r="T45" s="10">
        <f t="shared" si="3"/>
        <v>2.84962406</v>
      </c>
      <c r="U45" s="11" t="str">
        <f t="shared" si="4"/>
        <v>#REF!</v>
      </c>
      <c r="V45" s="6"/>
      <c r="W45" s="6"/>
      <c r="X45" s="6"/>
      <c r="Y45" s="6"/>
      <c r="Z45" s="6"/>
      <c r="AA45" s="6"/>
      <c r="AB45" s="6"/>
      <c r="AC45" s="6"/>
      <c r="AD45" s="6"/>
    </row>
    <row r="46" ht="15.75" customHeight="1">
      <c r="A46" s="1">
        <v>45.0</v>
      </c>
      <c r="B46" s="7" t="s">
        <v>195</v>
      </c>
      <c r="C46" s="13">
        <v>45939.0</v>
      </c>
      <c r="D46" s="9">
        <f t="shared" si="5"/>
        <v>7</v>
      </c>
      <c r="E46" s="9"/>
      <c r="F46" s="1" t="s">
        <v>22</v>
      </c>
      <c r="G46" s="2" t="s">
        <v>196</v>
      </c>
      <c r="H46" s="3" t="s">
        <v>197</v>
      </c>
      <c r="I46" s="3" t="s">
        <v>198</v>
      </c>
      <c r="J46" s="1">
        <v>12000.0</v>
      </c>
      <c r="K46" s="1">
        <v>368.0</v>
      </c>
      <c r="L46" s="1">
        <v>25.0</v>
      </c>
      <c r="M46" s="1">
        <v>18.0</v>
      </c>
      <c r="N46" s="1">
        <v>48.0</v>
      </c>
      <c r="O46" s="9"/>
      <c r="P46" s="9"/>
      <c r="Q46" s="9"/>
      <c r="R46" s="6"/>
      <c r="S46" s="10">
        <f t="shared" si="2"/>
        <v>0.55</v>
      </c>
      <c r="T46" s="10">
        <f t="shared" si="3"/>
        <v>3.066666667</v>
      </c>
      <c r="U46" s="11" t="str">
        <f t="shared" si="4"/>
        <v>#REF!</v>
      </c>
      <c r="V46" s="6"/>
      <c r="W46" s="6"/>
      <c r="X46" s="6"/>
      <c r="Y46" s="6"/>
      <c r="Z46" s="6"/>
      <c r="AA46" s="6"/>
      <c r="AB46" s="6"/>
      <c r="AC46" s="6"/>
      <c r="AD46" s="6"/>
    </row>
    <row r="47" ht="15.75" customHeight="1">
      <c r="A47" s="1">
        <v>46.0</v>
      </c>
      <c r="B47" s="7" t="s">
        <v>199</v>
      </c>
      <c r="C47" s="8">
        <v>45932.0</v>
      </c>
      <c r="D47" s="9">
        <f t="shared" si="5"/>
        <v>2</v>
      </c>
      <c r="E47" s="9"/>
      <c r="F47" s="1" t="s">
        <v>22</v>
      </c>
      <c r="G47" s="2" t="s">
        <v>200</v>
      </c>
      <c r="H47" s="3" t="s">
        <v>201</v>
      </c>
      <c r="I47" s="3" t="s">
        <v>202</v>
      </c>
      <c r="J47" s="1">
        <v>15300.0</v>
      </c>
      <c r="K47" s="1">
        <v>440.0</v>
      </c>
      <c r="L47" s="1">
        <v>26.0</v>
      </c>
      <c r="M47" s="1">
        <v>7.0</v>
      </c>
      <c r="N47" s="1">
        <v>31.0</v>
      </c>
      <c r="O47" s="9"/>
      <c r="P47" s="9"/>
      <c r="Q47" s="9"/>
      <c r="R47" s="6"/>
      <c r="S47" s="10">
        <f t="shared" si="2"/>
        <v>0.2483660131</v>
      </c>
      <c r="T47" s="10">
        <f t="shared" si="3"/>
        <v>2.875816993</v>
      </c>
      <c r="U47" s="11" t="str">
        <f t="shared" si="4"/>
        <v>#REF!</v>
      </c>
      <c r="V47" s="6"/>
      <c r="W47" s="6"/>
      <c r="X47" s="6"/>
      <c r="Y47" s="6"/>
      <c r="Z47" s="6"/>
      <c r="AA47" s="6"/>
      <c r="AB47" s="6"/>
      <c r="AC47" s="6"/>
      <c r="AD47" s="6"/>
    </row>
    <row r="48" ht="15.75" customHeight="1">
      <c r="A48" s="1">
        <v>47.0</v>
      </c>
      <c r="B48" s="7" t="s">
        <v>203</v>
      </c>
      <c r="C48" s="13">
        <v>45930.0</v>
      </c>
      <c r="D48" s="9">
        <f t="shared" si="5"/>
        <v>2</v>
      </c>
      <c r="E48" s="9"/>
      <c r="F48" s="1" t="s">
        <v>22</v>
      </c>
      <c r="G48" s="2" t="s">
        <v>165</v>
      </c>
      <c r="H48" s="3" t="s">
        <v>204</v>
      </c>
      <c r="I48" s="3" t="s">
        <v>205</v>
      </c>
      <c r="J48" s="1">
        <v>11300.0</v>
      </c>
      <c r="K48" s="1">
        <v>300.0</v>
      </c>
      <c r="L48" s="1">
        <v>28.0</v>
      </c>
      <c r="M48" s="1">
        <v>25.0</v>
      </c>
      <c r="N48" s="1">
        <v>63.0</v>
      </c>
      <c r="O48" s="9"/>
      <c r="P48" s="9"/>
      <c r="Q48" s="9"/>
      <c r="R48" s="6"/>
      <c r="S48" s="10">
        <f t="shared" si="2"/>
        <v>0.7787610619</v>
      </c>
      <c r="T48" s="10">
        <f t="shared" si="3"/>
        <v>2.654867257</v>
      </c>
      <c r="U48" s="11" t="str">
        <f t="shared" si="4"/>
        <v>#REF!</v>
      </c>
      <c r="V48" s="6"/>
      <c r="W48" s="6"/>
      <c r="X48" s="6"/>
      <c r="Y48" s="6"/>
      <c r="Z48" s="6"/>
      <c r="AA48" s="6"/>
      <c r="AB48" s="6"/>
      <c r="AC48" s="6"/>
      <c r="AD48" s="6"/>
    </row>
    <row r="49" ht="15.75" customHeight="1">
      <c r="A49" s="1">
        <v>48.0</v>
      </c>
      <c r="B49" s="7" t="s">
        <v>206</v>
      </c>
      <c r="C49" s="13">
        <v>45928.0</v>
      </c>
      <c r="D49" s="9">
        <f t="shared" si="5"/>
        <v>5</v>
      </c>
      <c r="E49" s="9"/>
      <c r="F49" s="1" t="s">
        <v>22</v>
      </c>
      <c r="G49" s="2" t="s">
        <v>207</v>
      </c>
      <c r="H49" s="3" t="s">
        <v>208</v>
      </c>
      <c r="I49" s="3" t="s">
        <v>209</v>
      </c>
      <c r="J49" s="1">
        <v>11300.0</v>
      </c>
      <c r="K49" s="1">
        <v>352.0</v>
      </c>
      <c r="L49" s="1">
        <v>36.0</v>
      </c>
      <c r="M49" s="1">
        <v>6.0</v>
      </c>
      <c r="N49" s="1">
        <v>22.0</v>
      </c>
      <c r="O49" s="9"/>
      <c r="P49" s="9"/>
      <c r="Q49" s="9"/>
      <c r="R49" s="6"/>
      <c r="S49" s="10">
        <f t="shared" si="2"/>
        <v>0.2477876106</v>
      </c>
      <c r="T49" s="10">
        <f t="shared" si="3"/>
        <v>3.115044248</v>
      </c>
      <c r="U49" s="11" t="str">
        <f t="shared" si="4"/>
        <v>#REF!</v>
      </c>
      <c r="V49" s="6"/>
      <c r="W49" s="6"/>
      <c r="X49" s="6"/>
      <c r="Y49" s="6"/>
      <c r="Z49" s="6"/>
      <c r="AA49" s="6"/>
      <c r="AB49" s="6"/>
      <c r="AC49" s="6"/>
      <c r="AD49" s="6"/>
    </row>
    <row r="50" ht="15.75" customHeight="1">
      <c r="A50" s="1">
        <v>49.0</v>
      </c>
      <c r="B50" s="7" t="s">
        <v>210</v>
      </c>
      <c r="C50" s="13">
        <v>45923.0</v>
      </c>
      <c r="D50" s="9">
        <f t="shared" si="5"/>
        <v>7</v>
      </c>
      <c r="E50" s="9"/>
      <c r="F50" s="1" t="s">
        <v>22</v>
      </c>
      <c r="G50" s="2" t="s">
        <v>211</v>
      </c>
      <c r="H50" s="3" t="s">
        <v>212</v>
      </c>
      <c r="I50" s="3" t="s">
        <v>213</v>
      </c>
      <c r="J50" s="1">
        <v>12400.0</v>
      </c>
      <c r="K50" s="1">
        <v>286.0</v>
      </c>
      <c r="L50" s="1">
        <v>26.0</v>
      </c>
      <c r="M50" s="1">
        <v>12.0</v>
      </c>
      <c r="N50" s="1">
        <v>48.0</v>
      </c>
      <c r="O50" s="9"/>
      <c r="P50" s="9"/>
      <c r="Q50" s="9"/>
      <c r="R50" s="6"/>
      <c r="S50" s="10">
        <f t="shared" si="2"/>
        <v>0.4838709677</v>
      </c>
      <c r="T50" s="10">
        <f t="shared" si="3"/>
        <v>2.306451613</v>
      </c>
      <c r="U50" s="11" t="str">
        <f t="shared" si="4"/>
        <v>#REF!</v>
      </c>
      <c r="V50" s="6"/>
      <c r="W50" s="6"/>
      <c r="X50" s="6"/>
      <c r="Y50" s="6"/>
      <c r="Z50" s="6"/>
      <c r="AA50" s="6"/>
      <c r="AB50" s="6"/>
      <c r="AC50" s="6"/>
      <c r="AD50" s="6"/>
    </row>
    <row r="51" ht="15.75" customHeight="1">
      <c r="A51" s="1">
        <v>50.0</v>
      </c>
      <c r="B51" s="7" t="s">
        <v>214</v>
      </c>
      <c r="C51" s="13">
        <v>45916.0</v>
      </c>
      <c r="D51" s="9">
        <f t="shared" si="5"/>
        <v>7</v>
      </c>
      <c r="E51" s="9"/>
      <c r="F51" s="1" t="s">
        <v>22</v>
      </c>
      <c r="G51" s="2" t="s">
        <v>215</v>
      </c>
      <c r="H51" s="3" t="s">
        <v>216</v>
      </c>
      <c r="I51" s="3" t="s">
        <v>217</v>
      </c>
      <c r="J51" s="1">
        <v>13200.0</v>
      </c>
      <c r="K51" s="1">
        <v>292.0</v>
      </c>
      <c r="L51" s="1">
        <v>16.0</v>
      </c>
      <c r="M51" s="1">
        <v>16.0</v>
      </c>
      <c r="N51" s="1">
        <v>42.0</v>
      </c>
      <c r="O51" s="9"/>
      <c r="P51" s="9"/>
      <c r="Q51" s="9"/>
      <c r="R51" s="6"/>
      <c r="S51" s="10">
        <f t="shared" si="2"/>
        <v>0.4393939394</v>
      </c>
      <c r="T51" s="10">
        <f t="shared" si="3"/>
        <v>2.212121212</v>
      </c>
      <c r="U51" s="11" t="str">
        <f t="shared" si="4"/>
        <v>#REF!</v>
      </c>
      <c r="V51" s="6"/>
      <c r="W51" s="6"/>
      <c r="X51" s="6"/>
      <c r="Y51" s="6"/>
      <c r="Z51" s="6"/>
      <c r="AA51" s="6"/>
      <c r="AB51" s="6"/>
      <c r="AC51" s="6"/>
      <c r="AD51" s="6"/>
    </row>
    <row r="52" ht="15.75" customHeight="1">
      <c r="A52" s="1">
        <v>51.0</v>
      </c>
      <c r="B52" s="7" t="s">
        <v>218</v>
      </c>
      <c r="C52" s="13">
        <v>45909.0</v>
      </c>
      <c r="D52" s="9">
        <f t="shared" si="5"/>
        <v>7</v>
      </c>
      <c r="E52" s="9"/>
      <c r="F52" s="1" t="s">
        <v>22</v>
      </c>
      <c r="G52" s="2" t="s">
        <v>219</v>
      </c>
      <c r="H52" s="3" t="s">
        <v>220</v>
      </c>
      <c r="I52" s="3" t="s">
        <v>221</v>
      </c>
      <c r="J52" s="1">
        <v>10100.0</v>
      </c>
      <c r="K52" s="1">
        <v>312.0</v>
      </c>
      <c r="L52" s="1">
        <v>22.0</v>
      </c>
      <c r="M52" s="1">
        <v>20.0</v>
      </c>
      <c r="N52" s="1">
        <v>35.0</v>
      </c>
      <c r="O52" s="9"/>
      <c r="P52" s="9"/>
      <c r="Q52" s="9"/>
      <c r="R52" s="6"/>
      <c r="S52" s="10">
        <f t="shared" si="2"/>
        <v>0.5445544554</v>
      </c>
      <c r="T52" s="10">
        <f t="shared" si="3"/>
        <v>3.089108911</v>
      </c>
      <c r="U52" s="11" t="str">
        <f t="shared" si="4"/>
        <v>#REF!</v>
      </c>
      <c r="V52" s="6"/>
      <c r="W52" s="6"/>
      <c r="X52" s="6"/>
      <c r="Y52" s="6"/>
      <c r="Z52" s="6"/>
      <c r="AA52" s="6"/>
      <c r="AB52" s="6"/>
      <c r="AC52" s="6"/>
      <c r="AD52" s="6"/>
    </row>
    <row r="53" ht="15.75" customHeight="1">
      <c r="A53" s="1">
        <v>52.0</v>
      </c>
      <c r="B53" s="7" t="s">
        <v>222</v>
      </c>
      <c r="C53" s="8">
        <v>45902.0</v>
      </c>
      <c r="D53" s="9">
        <f t="shared" si="5"/>
        <v>5</v>
      </c>
      <c r="E53" s="9"/>
      <c r="F53" s="1" t="s">
        <v>22</v>
      </c>
      <c r="G53" s="2" t="s">
        <v>211</v>
      </c>
      <c r="H53" s="3" t="s">
        <v>223</v>
      </c>
      <c r="I53" s="3" t="s">
        <v>224</v>
      </c>
      <c r="J53" s="1">
        <v>10300.0</v>
      </c>
      <c r="K53" s="1">
        <v>302.0</v>
      </c>
      <c r="L53" s="1">
        <v>38.0</v>
      </c>
      <c r="M53" s="1">
        <v>30.0</v>
      </c>
      <c r="N53" s="1">
        <v>64.0</v>
      </c>
      <c r="O53" s="9"/>
      <c r="P53" s="9"/>
      <c r="Q53" s="9"/>
      <c r="R53" s="6"/>
      <c r="S53" s="10">
        <f t="shared" si="2"/>
        <v>0.9126213592</v>
      </c>
      <c r="T53" s="10">
        <f t="shared" si="3"/>
        <v>2.932038835</v>
      </c>
      <c r="U53" s="11" t="str">
        <f t="shared" si="4"/>
        <v>#REF!</v>
      </c>
      <c r="V53" s="6"/>
      <c r="W53" s="6"/>
      <c r="X53" s="6"/>
      <c r="Y53" s="6"/>
      <c r="Z53" s="6"/>
      <c r="AA53" s="6"/>
      <c r="AB53" s="6"/>
      <c r="AC53" s="6"/>
      <c r="AD53" s="6"/>
    </row>
    <row r="54" ht="15.75" customHeight="1">
      <c r="A54" s="1">
        <v>53.0</v>
      </c>
      <c r="B54" s="7" t="s">
        <v>225</v>
      </c>
      <c r="C54" s="13">
        <v>45897.0</v>
      </c>
      <c r="D54" s="9">
        <f t="shared" si="5"/>
        <v>6</v>
      </c>
      <c r="E54" s="9"/>
      <c r="F54" s="1" t="s">
        <v>22</v>
      </c>
      <c r="G54" s="2" t="s">
        <v>226</v>
      </c>
      <c r="H54" s="3" t="s">
        <v>227</v>
      </c>
      <c r="I54" s="3" t="s">
        <v>228</v>
      </c>
      <c r="J54" s="1">
        <v>12400.0</v>
      </c>
      <c r="K54" s="1">
        <v>319.0</v>
      </c>
      <c r="L54" s="1">
        <v>27.0</v>
      </c>
      <c r="M54" s="1">
        <v>23.0</v>
      </c>
      <c r="N54" s="1">
        <v>78.0</v>
      </c>
      <c r="O54" s="9"/>
      <c r="P54" s="9"/>
      <c r="Q54" s="9"/>
      <c r="R54" s="6"/>
      <c r="S54" s="10">
        <f t="shared" si="2"/>
        <v>0.814516129</v>
      </c>
      <c r="T54" s="10">
        <f t="shared" si="3"/>
        <v>2.572580645</v>
      </c>
      <c r="U54" s="11" t="str">
        <f t="shared" si="4"/>
        <v>#REF!</v>
      </c>
      <c r="V54" s="6"/>
      <c r="W54" s="6"/>
      <c r="X54" s="6"/>
      <c r="Y54" s="6"/>
      <c r="Z54" s="6"/>
      <c r="AA54" s="6"/>
      <c r="AB54" s="6"/>
      <c r="AC54" s="6"/>
      <c r="AD54" s="6"/>
    </row>
    <row r="55" ht="15.75" customHeight="1">
      <c r="A55" s="1">
        <v>54.0</v>
      </c>
      <c r="B55" s="7" t="s">
        <v>229</v>
      </c>
      <c r="C55" s="13">
        <v>45891.0</v>
      </c>
      <c r="D55" s="9">
        <f t="shared" si="5"/>
        <v>2</v>
      </c>
      <c r="E55" s="9"/>
      <c r="F55" s="1" t="s">
        <v>22</v>
      </c>
      <c r="G55" s="2" t="s">
        <v>41</v>
      </c>
      <c r="H55" s="3" t="s">
        <v>230</v>
      </c>
      <c r="I55" s="3" t="s">
        <v>231</v>
      </c>
      <c r="J55" s="1">
        <v>20400.0</v>
      </c>
      <c r="K55" s="1">
        <v>442.0</v>
      </c>
      <c r="L55" s="1">
        <v>60.0</v>
      </c>
      <c r="M55" s="1">
        <v>24.0</v>
      </c>
      <c r="N55" s="1">
        <v>94.0</v>
      </c>
      <c r="O55" s="9"/>
      <c r="P55" s="9"/>
      <c r="Q55" s="9"/>
      <c r="R55" s="6"/>
      <c r="S55" s="10">
        <f t="shared" si="2"/>
        <v>0.5784313725</v>
      </c>
      <c r="T55" s="10">
        <f t="shared" si="3"/>
        <v>2.166666667</v>
      </c>
      <c r="U55" s="11" t="str">
        <f t="shared" si="4"/>
        <v>#REF!</v>
      </c>
      <c r="V55" s="6"/>
      <c r="W55" s="6"/>
      <c r="X55" s="6"/>
      <c r="Y55" s="6"/>
      <c r="Z55" s="6"/>
      <c r="AA55" s="6"/>
      <c r="AB55" s="6"/>
      <c r="AC55" s="6"/>
      <c r="AD55" s="6"/>
    </row>
    <row r="56" ht="15.75" customHeight="1">
      <c r="A56" s="1">
        <v>55.0</v>
      </c>
      <c r="B56" s="7" t="s">
        <v>232</v>
      </c>
      <c r="C56" s="13">
        <v>45889.0</v>
      </c>
      <c r="D56" s="9">
        <f t="shared" si="5"/>
        <v>4</v>
      </c>
      <c r="E56" s="9"/>
      <c r="F56" s="1" t="s">
        <v>22</v>
      </c>
      <c r="G56" s="2" t="s">
        <v>60</v>
      </c>
      <c r="H56" s="3" t="s">
        <v>233</v>
      </c>
      <c r="I56" s="3" t="s">
        <v>234</v>
      </c>
      <c r="J56" s="1">
        <v>13200.0</v>
      </c>
      <c r="K56" s="1">
        <v>305.0</v>
      </c>
      <c r="L56" s="1">
        <v>33.0</v>
      </c>
      <c r="M56" s="1">
        <v>25.0</v>
      </c>
      <c r="N56" s="1">
        <v>58.0</v>
      </c>
      <c r="O56" s="9"/>
      <c r="P56" s="9"/>
      <c r="Q56" s="9"/>
      <c r="R56" s="6"/>
      <c r="S56" s="10">
        <f t="shared" si="2"/>
        <v>0.6287878788</v>
      </c>
      <c r="T56" s="10">
        <f t="shared" si="3"/>
        <v>2.310606061</v>
      </c>
      <c r="U56" s="11" t="str">
        <f t="shared" si="4"/>
        <v>#REF!</v>
      </c>
      <c r="V56" s="6"/>
      <c r="W56" s="6"/>
      <c r="X56" s="6"/>
      <c r="Y56" s="6"/>
      <c r="Z56" s="6"/>
      <c r="AA56" s="6"/>
      <c r="AB56" s="6"/>
      <c r="AC56" s="6"/>
      <c r="AD56" s="6"/>
    </row>
    <row r="57" ht="15.75" customHeight="1">
      <c r="A57" s="1">
        <v>56.0</v>
      </c>
      <c r="B57" s="7" t="s">
        <v>235</v>
      </c>
      <c r="C57" s="13">
        <v>45885.0</v>
      </c>
      <c r="D57" s="9">
        <f t="shared" si="5"/>
        <v>3</v>
      </c>
      <c r="E57" s="9"/>
      <c r="F57" s="1" t="s">
        <v>22</v>
      </c>
      <c r="G57" s="2" t="s">
        <v>236</v>
      </c>
      <c r="H57" s="3" t="s">
        <v>237</v>
      </c>
      <c r="I57" s="3" t="s">
        <v>238</v>
      </c>
      <c r="J57" s="1">
        <v>15900.0</v>
      </c>
      <c r="K57" s="1">
        <v>471.0</v>
      </c>
      <c r="L57" s="1">
        <v>50.0</v>
      </c>
      <c r="M57" s="1">
        <v>31.0</v>
      </c>
      <c r="N57" s="1">
        <v>115.0</v>
      </c>
      <c r="O57" s="9"/>
      <c r="P57" s="9"/>
      <c r="Q57" s="9"/>
      <c r="R57" s="6"/>
      <c r="S57" s="10">
        <f t="shared" si="2"/>
        <v>0.9182389937</v>
      </c>
      <c r="T57" s="10">
        <f t="shared" si="3"/>
        <v>2.962264151</v>
      </c>
      <c r="U57" s="11" t="str">
        <f t="shared" si="4"/>
        <v>#REF!</v>
      </c>
      <c r="V57" s="6"/>
      <c r="W57" s="6"/>
      <c r="X57" s="6"/>
      <c r="Y57" s="6"/>
      <c r="Z57" s="6"/>
      <c r="AA57" s="6"/>
      <c r="AB57" s="6"/>
      <c r="AC57" s="6"/>
      <c r="AD57" s="6"/>
    </row>
    <row r="58" ht="15.75" customHeight="1">
      <c r="A58" s="1">
        <v>57.0</v>
      </c>
      <c r="B58" s="7" t="s">
        <v>239</v>
      </c>
      <c r="C58" s="13">
        <v>45882.0</v>
      </c>
      <c r="D58" s="9"/>
      <c r="E58" s="9"/>
      <c r="F58" s="1" t="s">
        <v>22</v>
      </c>
      <c r="G58" s="2" t="s">
        <v>150</v>
      </c>
      <c r="H58" s="3" t="s">
        <v>240</v>
      </c>
      <c r="I58" s="3" t="s">
        <v>241</v>
      </c>
      <c r="J58" s="1">
        <v>31400.0</v>
      </c>
      <c r="K58" s="1">
        <v>653.0</v>
      </c>
      <c r="L58" s="1">
        <v>79.0</v>
      </c>
      <c r="M58" s="1">
        <v>48.0</v>
      </c>
      <c r="N58" s="1">
        <v>144.0</v>
      </c>
      <c r="O58" s="9"/>
      <c r="P58" s="9"/>
      <c r="Q58" s="9"/>
      <c r="R58" s="6"/>
      <c r="S58" s="10">
        <f t="shared" si="2"/>
        <v>0.6114649682</v>
      </c>
      <c r="T58" s="10">
        <f t="shared" si="3"/>
        <v>2.079617834</v>
      </c>
      <c r="U58" s="11" t="str">
        <f t="shared" si="4"/>
        <v>#REF!</v>
      </c>
      <c r="V58" s="6"/>
      <c r="W58" s="6"/>
      <c r="X58" s="6"/>
      <c r="Y58" s="6"/>
      <c r="Z58" s="6"/>
      <c r="AA58" s="6"/>
      <c r="AB58" s="6"/>
      <c r="AC58" s="6"/>
      <c r="AD58" s="6"/>
    </row>
    <row r="59" ht="15.75" customHeight="1">
      <c r="A59" s="16"/>
      <c r="B59" s="7" t="s">
        <v>242</v>
      </c>
      <c r="C59" s="17">
        <v>45931.0</v>
      </c>
      <c r="D59" s="18"/>
      <c r="E59" s="18"/>
      <c r="F59" s="1" t="s">
        <v>22</v>
      </c>
      <c r="G59" s="19" t="s">
        <v>165</v>
      </c>
      <c r="H59" s="20" t="s">
        <v>243</v>
      </c>
      <c r="I59" s="20" t="s">
        <v>244</v>
      </c>
      <c r="J59" s="16">
        <v>2715.0</v>
      </c>
      <c r="K59" s="16">
        <v>132.0</v>
      </c>
      <c r="L59" s="16">
        <v>7.0</v>
      </c>
      <c r="M59" s="16"/>
      <c r="N59" s="16"/>
      <c r="O59" s="1">
        <v>6.0</v>
      </c>
      <c r="P59" s="1">
        <v>47.0</v>
      </c>
      <c r="Q59" s="9"/>
      <c r="R59" s="6"/>
      <c r="S59" s="10">
        <f t="shared" si="2"/>
        <v>0</v>
      </c>
      <c r="T59" s="10">
        <f t="shared" si="3"/>
        <v>4.861878453</v>
      </c>
      <c r="U59" s="11"/>
      <c r="V59" s="6"/>
      <c r="W59" s="6"/>
      <c r="X59" s="6"/>
      <c r="Y59" s="6"/>
      <c r="Z59" s="6"/>
      <c r="AA59" s="6"/>
      <c r="AB59" s="6"/>
      <c r="AC59" s="6"/>
      <c r="AD59" s="6"/>
    </row>
    <row r="60" ht="15.75" customHeight="1">
      <c r="A60" s="9"/>
      <c r="B60" s="7" t="s">
        <v>245</v>
      </c>
      <c r="C60" s="8">
        <v>46030.0</v>
      </c>
      <c r="D60" s="9"/>
      <c r="E60" s="9"/>
      <c r="F60" s="1" t="s">
        <v>22</v>
      </c>
      <c r="G60" s="21"/>
      <c r="H60" s="3" t="s">
        <v>246</v>
      </c>
      <c r="I60" s="3" t="s">
        <v>247</v>
      </c>
      <c r="J60" s="1">
        <v>766.0</v>
      </c>
      <c r="K60" s="1">
        <v>38.0</v>
      </c>
      <c r="L60" s="1">
        <v>3.0</v>
      </c>
      <c r="M60" s="9"/>
      <c r="N60" s="9"/>
      <c r="O60" s="1">
        <v>2.0</v>
      </c>
      <c r="P60" s="1">
        <v>9.0</v>
      </c>
      <c r="Q60" s="9"/>
      <c r="R60" s="6"/>
      <c r="S60" s="10">
        <f t="shared" si="2"/>
        <v>0</v>
      </c>
      <c r="T60" s="10">
        <f t="shared" si="3"/>
        <v>4.960835509</v>
      </c>
      <c r="U60" s="11"/>
      <c r="V60" s="6"/>
      <c r="W60" s="6"/>
      <c r="X60" s="6"/>
      <c r="Y60" s="6"/>
      <c r="Z60" s="6"/>
      <c r="AA60" s="6"/>
      <c r="AB60" s="6"/>
      <c r="AC60" s="6"/>
      <c r="AD60" s="6"/>
    </row>
    <row r="61" ht="15.75" customHeight="1">
      <c r="A61" s="9"/>
      <c r="B61" s="22" t="s">
        <v>248</v>
      </c>
      <c r="C61" s="23"/>
      <c r="D61" s="9"/>
      <c r="E61" s="9"/>
      <c r="F61" s="1" t="s">
        <v>22</v>
      </c>
      <c r="G61" s="2" t="s">
        <v>68</v>
      </c>
      <c r="H61" s="3" t="s">
        <v>249</v>
      </c>
      <c r="I61" s="3" t="s">
        <v>250</v>
      </c>
      <c r="J61" s="1">
        <v>3000.0</v>
      </c>
      <c r="K61" s="1">
        <v>76.0</v>
      </c>
      <c r="L61" s="1">
        <v>15.0</v>
      </c>
      <c r="M61" s="9"/>
      <c r="N61" s="1">
        <v>68.0</v>
      </c>
      <c r="O61" s="9"/>
      <c r="P61" s="9"/>
      <c r="Q61" s="1">
        <v>12.0</v>
      </c>
      <c r="R61" s="6"/>
      <c r="S61" s="10">
        <f t="shared" si="2"/>
        <v>2.266666667</v>
      </c>
      <c r="T61" s="10">
        <f t="shared" si="3"/>
        <v>2.533333333</v>
      </c>
      <c r="U61" s="11"/>
      <c r="V61" s="6"/>
      <c r="W61" s="6"/>
      <c r="X61" s="6"/>
      <c r="Y61" s="6"/>
      <c r="Z61" s="6"/>
      <c r="AA61" s="6"/>
      <c r="AB61" s="6"/>
      <c r="AC61" s="6"/>
      <c r="AD61" s="6"/>
    </row>
    <row r="62" ht="15.75" customHeight="1">
      <c r="A62" s="9"/>
      <c r="B62" s="7" t="s">
        <v>251</v>
      </c>
      <c r="C62" s="23"/>
      <c r="D62" s="9"/>
      <c r="E62" s="9"/>
      <c r="F62" s="1" t="s">
        <v>22</v>
      </c>
      <c r="G62" s="2" t="s">
        <v>252</v>
      </c>
      <c r="H62" s="3" t="s">
        <v>253</v>
      </c>
      <c r="I62" s="3" t="s">
        <v>254</v>
      </c>
      <c r="J62" s="1">
        <v>3000.0</v>
      </c>
      <c r="K62" s="1"/>
      <c r="L62" s="1"/>
      <c r="M62" s="9"/>
      <c r="N62" s="1"/>
      <c r="O62" s="9"/>
      <c r="Q62" s="1" t="s">
        <v>255</v>
      </c>
      <c r="R62" s="6"/>
      <c r="S62" s="10">
        <f t="shared" si="2"/>
        <v>0</v>
      </c>
      <c r="T62" s="10">
        <f t="shared" si="3"/>
        <v>0</v>
      </c>
      <c r="U62" s="24"/>
      <c r="V62" s="6"/>
      <c r="W62" s="6"/>
      <c r="X62" s="6"/>
      <c r="Y62" s="6"/>
      <c r="Z62" s="6"/>
      <c r="AA62" s="6"/>
      <c r="AB62" s="6"/>
      <c r="AC62" s="6"/>
      <c r="AD62" s="6"/>
    </row>
    <row r="63" ht="15.75" customHeight="1">
      <c r="A63" s="9"/>
      <c r="B63" s="7" t="s">
        <v>256</v>
      </c>
      <c r="C63" s="8"/>
      <c r="D63" s="9"/>
      <c r="E63" s="9"/>
      <c r="F63" s="1" t="s">
        <v>22</v>
      </c>
      <c r="G63" s="2" t="s">
        <v>87</v>
      </c>
      <c r="H63" s="3" t="s">
        <v>257</v>
      </c>
      <c r="I63" s="3" t="s">
        <v>258</v>
      </c>
      <c r="J63" s="1">
        <v>3800.0</v>
      </c>
      <c r="K63" s="1">
        <v>85.0</v>
      </c>
      <c r="L63" s="1">
        <v>4.0</v>
      </c>
      <c r="M63" s="9"/>
      <c r="N63" s="1">
        <v>4.0</v>
      </c>
      <c r="O63" s="9"/>
      <c r="Q63" s="1">
        <v>38.0</v>
      </c>
      <c r="R63" s="6"/>
      <c r="S63" s="10">
        <f t="shared" si="2"/>
        <v>0.1052631579</v>
      </c>
      <c r="T63" s="10">
        <f t="shared" si="3"/>
        <v>2.236842105</v>
      </c>
      <c r="U63" s="24"/>
      <c r="V63" s="6"/>
      <c r="W63" s="6"/>
      <c r="X63" s="6"/>
      <c r="Y63" s="6"/>
      <c r="Z63" s="6"/>
      <c r="AA63" s="6"/>
      <c r="AB63" s="6"/>
      <c r="AC63" s="6"/>
      <c r="AD63" s="6"/>
    </row>
    <row r="64" ht="15.75" customHeight="1">
      <c r="A64" s="9"/>
      <c r="B64" s="7" t="s">
        <v>259</v>
      </c>
      <c r="C64" s="23"/>
      <c r="D64" s="9"/>
      <c r="E64" s="9"/>
      <c r="F64" s="1" t="s">
        <v>22</v>
      </c>
      <c r="G64" s="2" t="s">
        <v>200</v>
      </c>
      <c r="H64" s="3" t="s">
        <v>260</v>
      </c>
      <c r="I64" s="3" t="s">
        <v>261</v>
      </c>
      <c r="J64" s="1">
        <v>8500.0</v>
      </c>
      <c r="K64" s="1">
        <v>135.0</v>
      </c>
      <c r="L64" s="1">
        <v>8.0</v>
      </c>
      <c r="M64" s="9"/>
      <c r="N64" s="1">
        <v>12.0</v>
      </c>
      <c r="O64" s="9"/>
      <c r="Q64" s="1">
        <v>46.0</v>
      </c>
      <c r="R64" s="6"/>
      <c r="S64" s="10">
        <f t="shared" si="2"/>
        <v>0.1411764706</v>
      </c>
      <c r="T64" s="10">
        <f t="shared" si="3"/>
        <v>1.588235294</v>
      </c>
      <c r="U64" s="24"/>
      <c r="V64" s="6"/>
      <c r="W64" s="6"/>
      <c r="X64" s="6"/>
      <c r="Y64" s="6"/>
      <c r="Z64" s="6"/>
      <c r="AA64" s="6"/>
      <c r="AB64" s="6"/>
      <c r="AC64" s="6"/>
      <c r="AD64" s="6"/>
    </row>
    <row r="65" ht="15.75" customHeight="1">
      <c r="A65" s="9"/>
      <c r="B65" s="7" t="s">
        <v>262</v>
      </c>
      <c r="C65" s="23"/>
      <c r="D65" s="9"/>
      <c r="E65" s="9"/>
      <c r="F65" s="1" t="s">
        <v>22</v>
      </c>
      <c r="G65" s="2" t="s">
        <v>207</v>
      </c>
      <c r="H65" s="3" t="s">
        <v>263</v>
      </c>
      <c r="I65" s="3" t="s">
        <v>264</v>
      </c>
      <c r="J65" s="1">
        <v>3500.0</v>
      </c>
      <c r="K65" s="1">
        <v>67.0</v>
      </c>
      <c r="L65" s="1">
        <v>5.0</v>
      </c>
      <c r="M65" s="9"/>
      <c r="N65" s="1">
        <v>6.0</v>
      </c>
      <c r="O65" s="9"/>
      <c r="Q65" s="1">
        <v>48.0</v>
      </c>
      <c r="R65" s="6"/>
      <c r="S65" s="10">
        <f t="shared" si="2"/>
        <v>0.1714285714</v>
      </c>
      <c r="T65" s="10">
        <f t="shared" si="3"/>
        <v>1.914285714</v>
      </c>
      <c r="U65" s="24"/>
      <c r="V65" s="6"/>
      <c r="W65" s="6"/>
      <c r="X65" s="6"/>
      <c r="Y65" s="6"/>
      <c r="Z65" s="6"/>
      <c r="AA65" s="6"/>
      <c r="AB65" s="6"/>
      <c r="AC65" s="6"/>
      <c r="AD65" s="6"/>
    </row>
    <row r="66" ht="15.75" customHeight="1">
      <c r="A66" s="9"/>
      <c r="B66" s="7" t="s">
        <v>265</v>
      </c>
      <c r="C66" s="23"/>
      <c r="D66" s="9"/>
      <c r="E66" s="9"/>
      <c r="F66" s="1" t="s">
        <v>22</v>
      </c>
      <c r="G66" s="2" t="s">
        <v>41</v>
      </c>
      <c r="H66" s="3" t="s">
        <v>266</v>
      </c>
      <c r="I66" s="3" t="s">
        <v>267</v>
      </c>
      <c r="J66" s="1">
        <v>3000.0</v>
      </c>
      <c r="K66" s="1">
        <v>87.0</v>
      </c>
      <c r="L66" s="1">
        <v>3.0</v>
      </c>
      <c r="M66" s="9"/>
      <c r="N66" s="1">
        <v>12.0</v>
      </c>
      <c r="O66" s="9"/>
      <c r="Q66" s="1">
        <v>54.0</v>
      </c>
      <c r="R66" s="6"/>
      <c r="S66" s="10">
        <f t="shared" si="2"/>
        <v>0.4</v>
      </c>
      <c r="T66" s="10">
        <f t="shared" si="3"/>
        <v>2.9</v>
      </c>
      <c r="U66" s="24"/>
      <c r="V66" s="6"/>
      <c r="W66" s="6"/>
      <c r="X66" s="6"/>
      <c r="Y66" s="6"/>
      <c r="Z66" s="6"/>
      <c r="AA66" s="6"/>
      <c r="AB66" s="6"/>
      <c r="AC66" s="6"/>
      <c r="AD66" s="6"/>
    </row>
    <row r="67" ht="15.75" customHeight="1">
      <c r="A67" s="6"/>
      <c r="B67" s="6"/>
      <c r="C67" s="6"/>
      <c r="D67" s="6"/>
      <c r="E67" s="6"/>
      <c r="F67" s="6"/>
      <c r="G67" s="6"/>
      <c r="H67" s="25"/>
      <c r="I67" s="25"/>
      <c r="J67" s="6"/>
      <c r="K67" s="6"/>
      <c r="L67" s="6"/>
      <c r="M67" s="6"/>
      <c r="N67" s="6"/>
      <c r="O67" s="6"/>
      <c r="P67" s="6"/>
      <c r="Q67" s="6"/>
      <c r="R67" s="6"/>
      <c r="S67" s="26"/>
      <c r="T67" s="26"/>
      <c r="U67" s="27"/>
      <c r="V67" s="6"/>
      <c r="W67" s="6"/>
      <c r="X67" s="6"/>
      <c r="Y67" s="6"/>
      <c r="Z67" s="6"/>
      <c r="AA67" s="6"/>
      <c r="AB67" s="6"/>
      <c r="AC67" s="6"/>
      <c r="AD67" s="6"/>
    </row>
    <row r="68" ht="15.75" customHeight="1">
      <c r="A68" s="6"/>
      <c r="B68" s="6"/>
      <c r="C68" s="6"/>
      <c r="D68" s="6"/>
      <c r="E68" s="6"/>
      <c r="F68" s="6"/>
      <c r="G68" s="6"/>
      <c r="H68" s="25"/>
      <c r="I68" s="25"/>
      <c r="J68" s="6"/>
      <c r="K68" s="6"/>
      <c r="L68" s="6"/>
      <c r="M68" s="6"/>
      <c r="N68" s="6"/>
      <c r="O68" s="6"/>
      <c r="P68" s="6"/>
      <c r="Q68" s="6"/>
      <c r="R68" s="6"/>
      <c r="S68" s="26"/>
      <c r="T68" s="26"/>
      <c r="U68" s="27"/>
      <c r="V68" s="6"/>
      <c r="W68" s="6"/>
      <c r="X68" s="6"/>
      <c r="Y68" s="6"/>
      <c r="Z68" s="6"/>
      <c r="AA68" s="6"/>
      <c r="AB68" s="6"/>
      <c r="AC68" s="6"/>
      <c r="AD68" s="6"/>
    </row>
    <row r="69" ht="15.75" customHeight="1">
      <c r="A69" s="6"/>
      <c r="B69" s="6"/>
      <c r="C69" s="6"/>
      <c r="D69" s="6"/>
      <c r="E69" s="6"/>
      <c r="F69" s="6"/>
      <c r="G69" s="6"/>
      <c r="H69" s="25"/>
      <c r="I69" s="25"/>
      <c r="J69" s="6"/>
      <c r="K69" s="6"/>
      <c r="L69" s="6"/>
      <c r="M69" s="6"/>
      <c r="N69" s="6"/>
      <c r="O69" s="6"/>
      <c r="P69" s="6"/>
      <c r="Q69" s="6"/>
      <c r="R69" s="6"/>
      <c r="S69" s="26"/>
      <c r="T69" s="26"/>
      <c r="U69" s="27"/>
      <c r="V69" s="6"/>
      <c r="W69" s="6"/>
      <c r="X69" s="6"/>
      <c r="Y69" s="6"/>
      <c r="Z69" s="6"/>
      <c r="AA69" s="6"/>
      <c r="AB69" s="6"/>
      <c r="AC69" s="6"/>
      <c r="AD69" s="6"/>
    </row>
    <row r="70">
      <c r="A70" s="6"/>
      <c r="B70" s="6"/>
      <c r="C70" s="6"/>
      <c r="D70" s="6"/>
      <c r="E70" s="6"/>
      <c r="F70" s="6"/>
      <c r="G70" s="6"/>
      <c r="H70" s="25"/>
      <c r="I70" s="25"/>
      <c r="J70" s="6"/>
      <c r="K70" s="6"/>
      <c r="L70" s="6"/>
      <c r="M70" s="6"/>
      <c r="N70" s="6"/>
      <c r="O70" s="6"/>
      <c r="P70" s="6"/>
      <c r="Q70" s="6"/>
      <c r="R70" s="6"/>
      <c r="S70" s="26"/>
      <c r="T70" s="26"/>
      <c r="U70" s="27"/>
      <c r="V70" s="6"/>
      <c r="W70" s="6"/>
      <c r="X70" s="6"/>
      <c r="Y70" s="6"/>
      <c r="Z70" s="6"/>
      <c r="AA70" s="6"/>
      <c r="AB70" s="6"/>
      <c r="AC70" s="6"/>
      <c r="AD70" s="6"/>
    </row>
    <row r="71">
      <c r="A71" s="6"/>
      <c r="B71" s="6"/>
      <c r="C71" s="6"/>
      <c r="D71" s="6"/>
      <c r="E71" s="6"/>
      <c r="F71" s="6"/>
      <c r="G71" s="6"/>
      <c r="H71" s="25"/>
      <c r="I71" s="25"/>
      <c r="J71" s="6"/>
      <c r="K71" s="6"/>
      <c r="L71" s="6"/>
      <c r="M71" s="6"/>
      <c r="N71" s="6"/>
      <c r="O71" s="6"/>
      <c r="P71" s="6"/>
      <c r="Q71" s="6"/>
      <c r="R71" s="6"/>
      <c r="S71" s="26"/>
      <c r="T71" s="26"/>
      <c r="U71" s="27"/>
      <c r="V71" s="6"/>
      <c r="W71" s="6"/>
      <c r="X71" s="6"/>
      <c r="Y71" s="6"/>
      <c r="Z71" s="6"/>
      <c r="AA71" s="6"/>
      <c r="AB71" s="6"/>
      <c r="AC71" s="6"/>
      <c r="AD71" s="6"/>
    </row>
    <row r="72">
      <c r="A72" s="6"/>
      <c r="B72" s="6"/>
      <c r="C72" s="6"/>
      <c r="D72" s="6"/>
      <c r="E72" s="6"/>
      <c r="F72" s="6"/>
      <c r="G72" s="6"/>
      <c r="H72" s="25"/>
      <c r="I72" s="25"/>
      <c r="J72" s="6"/>
      <c r="K72" s="6"/>
      <c r="L72" s="6"/>
      <c r="M72" s="6"/>
      <c r="N72" s="6"/>
      <c r="O72" s="6"/>
      <c r="P72" s="6"/>
      <c r="Q72" s="6"/>
      <c r="R72" s="6"/>
      <c r="S72" s="26"/>
      <c r="T72" s="26"/>
      <c r="U72" s="27"/>
      <c r="V72" s="6"/>
      <c r="W72" s="6"/>
      <c r="X72" s="6"/>
      <c r="Y72" s="6"/>
      <c r="Z72" s="6"/>
      <c r="AA72" s="6"/>
      <c r="AB72" s="6"/>
      <c r="AC72" s="6"/>
      <c r="AD72" s="6"/>
    </row>
    <row r="73">
      <c r="A73" s="6"/>
      <c r="B73" s="6"/>
      <c r="C73" s="6"/>
      <c r="D73" s="6"/>
      <c r="E73" s="6"/>
      <c r="F73" s="6"/>
      <c r="G73" s="6"/>
      <c r="H73" s="25"/>
      <c r="I73" s="25"/>
      <c r="J73" s="6"/>
      <c r="K73" s="6"/>
      <c r="L73" s="6"/>
      <c r="M73" s="6"/>
      <c r="N73" s="6"/>
      <c r="O73" s="6"/>
      <c r="P73" s="6"/>
      <c r="Q73" s="6"/>
      <c r="R73" s="6"/>
      <c r="S73" s="26"/>
      <c r="T73" s="26"/>
      <c r="U73" s="27"/>
      <c r="V73" s="6"/>
      <c r="W73" s="6"/>
      <c r="X73" s="6"/>
      <c r="Y73" s="6"/>
      <c r="Z73" s="6"/>
      <c r="AA73" s="6"/>
      <c r="AB73" s="6"/>
      <c r="AC73" s="6"/>
      <c r="AD73" s="6"/>
    </row>
    <row r="74">
      <c r="A74" s="6"/>
      <c r="B74" s="6"/>
      <c r="C74" s="6"/>
      <c r="D74" s="6"/>
      <c r="E74" s="6"/>
      <c r="F74" s="6"/>
      <c r="G74" s="6"/>
      <c r="H74" s="25"/>
      <c r="I74" s="25"/>
      <c r="J74" s="6"/>
      <c r="K74" s="6"/>
      <c r="L74" s="6"/>
      <c r="M74" s="6"/>
      <c r="N74" s="6"/>
      <c r="O74" s="6"/>
      <c r="P74" s="6"/>
      <c r="Q74" s="6"/>
      <c r="R74" s="6"/>
      <c r="S74" s="26"/>
      <c r="T74" s="26"/>
      <c r="U74" s="27"/>
      <c r="V74" s="6"/>
      <c r="W74" s="6"/>
      <c r="X74" s="6"/>
      <c r="Y74" s="6"/>
      <c r="Z74" s="6"/>
      <c r="AA74" s="6"/>
      <c r="AB74" s="6"/>
      <c r="AC74" s="6"/>
      <c r="AD74" s="6"/>
    </row>
    <row r="75">
      <c r="A75" s="6"/>
      <c r="B75" s="6"/>
      <c r="C75" s="6"/>
      <c r="D75" s="6"/>
      <c r="E75" s="6"/>
      <c r="F75" s="6"/>
      <c r="G75" s="6"/>
      <c r="H75" s="25"/>
      <c r="I75" s="25"/>
      <c r="J75" s="6"/>
      <c r="K75" s="6"/>
      <c r="L75" s="6"/>
      <c r="M75" s="6"/>
      <c r="N75" s="6"/>
      <c r="O75" s="6"/>
      <c r="P75" s="6"/>
      <c r="Q75" s="6"/>
      <c r="R75" s="6"/>
      <c r="S75" s="26"/>
      <c r="T75" s="26"/>
      <c r="U75" s="27"/>
      <c r="V75" s="6"/>
      <c r="W75" s="6"/>
      <c r="X75" s="6"/>
      <c r="Y75" s="6"/>
      <c r="Z75" s="6"/>
      <c r="AA75" s="6"/>
      <c r="AB75" s="6"/>
      <c r="AC75" s="6"/>
      <c r="AD75" s="6"/>
    </row>
    <row r="76">
      <c r="A76" s="6"/>
      <c r="B76" s="6"/>
      <c r="C76" s="6"/>
      <c r="D76" s="6"/>
      <c r="E76" s="6"/>
      <c r="F76" s="6"/>
      <c r="G76" s="6"/>
      <c r="H76" s="25"/>
      <c r="I76" s="25"/>
      <c r="J76" s="6"/>
      <c r="K76" s="6"/>
      <c r="L76" s="6"/>
      <c r="M76" s="6"/>
      <c r="N76" s="6"/>
      <c r="O76" s="6"/>
      <c r="P76" s="6"/>
      <c r="Q76" s="6"/>
      <c r="R76" s="6"/>
      <c r="S76" s="26"/>
      <c r="T76" s="26"/>
      <c r="U76" s="27"/>
      <c r="V76" s="6"/>
      <c r="W76" s="6"/>
      <c r="X76" s="6"/>
      <c r="Y76" s="6"/>
      <c r="Z76" s="6"/>
      <c r="AA76" s="6"/>
      <c r="AB76" s="6"/>
      <c r="AC76" s="6"/>
      <c r="AD76" s="6"/>
    </row>
    <row r="77">
      <c r="A77" s="6"/>
      <c r="B77" s="6"/>
      <c r="C77" s="6"/>
      <c r="D77" s="6"/>
      <c r="E77" s="6"/>
      <c r="F77" s="6"/>
      <c r="G77" s="6"/>
      <c r="H77" s="25"/>
      <c r="I77" s="25"/>
      <c r="J77" s="6"/>
      <c r="K77" s="6"/>
      <c r="L77" s="6"/>
      <c r="M77" s="6"/>
      <c r="N77" s="6"/>
      <c r="O77" s="6"/>
      <c r="P77" s="6"/>
      <c r="Q77" s="6"/>
      <c r="R77" s="6"/>
      <c r="S77" s="26"/>
      <c r="T77" s="26"/>
      <c r="U77" s="27"/>
      <c r="V77" s="6"/>
      <c r="W77" s="6"/>
      <c r="X77" s="6"/>
      <c r="Y77" s="6"/>
      <c r="Z77" s="6"/>
      <c r="AA77" s="6"/>
      <c r="AB77" s="6"/>
      <c r="AC77" s="6"/>
      <c r="AD77" s="6"/>
    </row>
    <row r="78">
      <c r="A78" s="6"/>
      <c r="B78" s="6"/>
      <c r="C78" s="6"/>
      <c r="D78" s="6"/>
      <c r="E78" s="6"/>
      <c r="F78" s="6"/>
      <c r="G78" s="6"/>
      <c r="H78" s="25"/>
      <c r="I78" s="25"/>
      <c r="J78" s="6"/>
      <c r="K78" s="6"/>
      <c r="L78" s="6"/>
      <c r="M78" s="6"/>
      <c r="N78" s="6"/>
      <c r="O78" s="6"/>
      <c r="P78" s="6"/>
      <c r="Q78" s="6"/>
      <c r="R78" s="6"/>
      <c r="S78" s="26"/>
      <c r="T78" s="26"/>
      <c r="U78" s="27"/>
      <c r="V78" s="6"/>
      <c r="W78" s="6"/>
      <c r="X78" s="6"/>
      <c r="Y78" s="6"/>
      <c r="Z78" s="6"/>
      <c r="AA78" s="6"/>
      <c r="AB78" s="6"/>
      <c r="AC78" s="6"/>
      <c r="AD78" s="6"/>
    </row>
    <row r="79">
      <c r="A79" s="6"/>
      <c r="B79" s="6"/>
      <c r="C79" s="6"/>
      <c r="D79" s="6"/>
      <c r="E79" s="6"/>
      <c r="F79" s="6"/>
      <c r="G79" s="6"/>
      <c r="H79" s="25"/>
      <c r="I79" s="25"/>
      <c r="J79" s="6"/>
      <c r="K79" s="6"/>
      <c r="L79" s="6"/>
      <c r="M79" s="6"/>
      <c r="N79" s="6"/>
      <c r="O79" s="6"/>
      <c r="P79" s="6"/>
      <c r="Q79" s="6"/>
      <c r="R79" s="6"/>
      <c r="S79" s="26"/>
      <c r="T79" s="26"/>
      <c r="U79" s="27"/>
      <c r="V79" s="6"/>
      <c r="W79" s="6"/>
      <c r="X79" s="6"/>
      <c r="Y79" s="6"/>
      <c r="Z79" s="6"/>
      <c r="AA79" s="6"/>
      <c r="AB79" s="6"/>
      <c r="AC79" s="6"/>
      <c r="AD79" s="6"/>
    </row>
    <row r="80">
      <c r="A80" s="6"/>
      <c r="B80" s="6"/>
      <c r="C80" s="6"/>
      <c r="D80" s="6"/>
      <c r="E80" s="6"/>
      <c r="F80" s="6"/>
      <c r="G80" s="6"/>
      <c r="H80" s="25"/>
      <c r="I80" s="25"/>
      <c r="J80" s="6"/>
      <c r="K80" s="6"/>
      <c r="L80" s="6"/>
      <c r="M80" s="6"/>
      <c r="N80" s="6"/>
      <c r="O80" s="6"/>
      <c r="P80" s="6"/>
      <c r="Q80" s="6"/>
      <c r="R80" s="6"/>
      <c r="S80" s="26"/>
      <c r="T80" s="26"/>
      <c r="U80" s="27"/>
      <c r="V80" s="6"/>
      <c r="W80" s="6"/>
      <c r="X80" s="6"/>
      <c r="Y80" s="6"/>
      <c r="Z80" s="6"/>
      <c r="AA80" s="6"/>
      <c r="AB80" s="6"/>
      <c r="AC80" s="6"/>
      <c r="AD80" s="6"/>
    </row>
    <row r="81">
      <c r="A81" s="6"/>
      <c r="B81" s="6"/>
      <c r="C81" s="6"/>
      <c r="D81" s="6"/>
      <c r="E81" s="6"/>
      <c r="F81" s="6"/>
      <c r="G81" s="6"/>
      <c r="H81" s="25"/>
      <c r="I81" s="25"/>
      <c r="J81" s="6"/>
      <c r="K81" s="6"/>
      <c r="L81" s="6"/>
      <c r="M81" s="6"/>
      <c r="N81" s="6"/>
      <c r="O81" s="6"/>
      <c r="P81" s="6"/>
      <c r="Q81" s="6"/>
      <c r="R81" s="6"/>
      <c r="S81" s="26"/>
      <c r="T81" s="26"/>
      <c r="U81" s="27"/>
      <c r="V81" s="6"/>
      <c r="W81" s="6"/>
      <c r="X81" s="6"/>
      <c r="Y81" s="6"/>
      <c r="Z81" s="6"/>
      <c r="AA81" s="6"/>
      <c r="AB81" s="6"/>
      <c r="AC81" s="6"/>
      <c r="AD81" s="6"/>
    </row>
    <row r="82">
      <c r="A82" s="6"/>
      <c r="B82" s="6"/>
      <c r="C82" s="6"/>
      <c r="D82" s="6"/>
      <c r="E82" s="6"/>
      <c r="F82" s="6"/>
      <c r="G82" s="6"/>
      <c r="H82" s="25"/>
      <c r="I82" s="25"/>
      <c r="J82" s="6"/>
      <c r="K82" s="6"/>
      <c r="L82" s="6"/>
      <c r="M82" s="6"/>
      <c r="N82" s="6"/>
      <c r="O82" s="6"/>
      <c r="P82" s="6"/>
      <c r="Q82" s="6"/>
      <c r="R82" s="6"/>
      <c r="S82" s="26"/>
      <c r="T82" s="26"/>
      <c r="U82" s="27"/>
      <c r="V82" s="6"/>
      <c r="W82" s="6"/>
      <c r="X82" s="6"/>
      <c r="Y82" s="6"/>
      <c r="Z82" s="6"/>
      <c r="AA82" s="6"/>
      <c r="AB82" s="6"/>
      <c r="AC82" s="6"/>
      <c r="AD82" s="6"/>
    </row>
    <row r="83">
      <c r="A83" s="6"/>
      <c r="B83" s="6"/>
      <c r="C83" s="6"/>
      <c r="D83" s="6"/>
      <c r="E83" s="6"/>
      <c r="F83" s="6"/>
      <c r="G83" s="6"/>
      <c r="H83" s="25"/>
      <c r="I83" s="25"/>
      <c r="J83" s="6"/>
      <c r="K83" s="6"/>
      <c r="L83" s="6"/>
      <c r="M83" s="6"/>
      <c r="N83" s="6"/>
      <c r="O83" s="6"/>
      <c r="P83" s="6"/>
      <c r="Q83" s="6"/>
      <c r="R83" s="6"/>
      <c r="S83" s="26"/>
      <c r="T83" s="26"/>
      <c r="U83" s="27"/>
      <c r="V83" s="6"/>
      <c r="W83" s="6"/>
      <c r="X83" s="6"/>
      <c r="Y83" s="6"/>
      <c r="Z83" s="6"/>
      <c r="AA83" s="6"/>
      <c r="AB83" s="6"/>
      <c r="AC83" s="6"/>
      <c r="AD83" s="6"/>
    </row>
    <row r="84">
      <c r="A84" s="6"/>
      <c r="B84" s="6"/>
      <c r="C84" s="6"/>
      <c r="D84" s="6"/>
      <c r="E84" s="6"/>
      <c r="F84" s="6"/>
      <c r="G84" s="6"/>
      <c r="H84" s="25"/>
      <c r="I84" s="25"/>
      <c r="J84" s="6"/>
      <c r="K84" s="6"/>
      <c r="L84" s="6"/>
      <c r="M84" s="6"/>
      <c r="N84" s="6"/>
      <c r="O84" s="6"/>
      <c r="P84" s="6"/>
      <c r="Q84" s="6"/>
      <c r="R84" s="6"/>
      <c r="S84" s="26"/>
      <c r="T84" s="26"/>
      <c r="U84" s="27"/>
      <c r="V84" s="6"/>
      <c r="W84" s="6"/>
      <c r="X84" s="6"/>
      <c r="Y84" s="6"/>
      <c r="Z84" s="6"/>
      <c r="AA84" s="6"/>
      <c r="AB84" s="6"/>
      <c r="AC84" s="6"/>
      <c r="AD84" s="6"/>
    </row>
    <row r="85">
      <c r="A85" s="6"/>
      <c r="B85" s="6"/>
      <c r="C85" s="6"/>
      <c r="D85" s="6"/>
      <c r="E85" s="6"/>
      <c r="F85" s="6"/>
      <c r="G85" s="6"/>
      <c r="H85" s="25"/>
      <c r="I85" s="25"/>
      <c r="J85" s="6"/>
      <c r="K85" s="6"/>
      <c r="L85" s="6"/>
      <c r="M85" s="6"/>
      <c r="N85" s="6"/>
      <c r="O85" s="6"/>
      <c r="P85" s="6"/>
      <c r="Q85" s="6"/>
      <c r="R85" s="6"/>
      <c r="S85" s="26"/>
      <c r="T85" s="26"/>
      <c r="U85" s="27"/>
      <c r="V85" s="6"/>
      <c r="W85" s="6"/>
      <c r="X85" s="6"/>
      <c r="Y85" s="6"/>
      <c r="Z85" s="6"/>
      <c r="AA85" s="6"/>
      <c r="AB85" s="6"/>
      <c r="AC85" s="6"/>
      <c r="AD85" s="6"/>
    </row>
    <row r="86">
      <c r="A86" s="6"/>
      <c r="B86" s="6"/>
      <c r="C86" s="6"/>
      <c r="D86" s="6"/>
      <c r="E86" s="6"/>
      <c r="F86" s="6"/>
      <c r="G86" s="6"/>
      <c r="H86" s="25"/>
      <c r="I86" s="25"/>
      <c r="J86" s="6"/>
      <c r="K86" s="6"/>
      <c r="L86" s="6"/>
      <c r="M86" s="6"/>
      <c r="N86" s="6"/>
      <c r="O86" s="6"/>
      <c r="P86" s="6"/>
      <c r="Q86" s="6"/>
      <c r="R86" s="6"/>
      <c r="S86" s="26"/>
      <c r="T86" s="26"/>
      <c r="U86" s="27"/>
      <c r="V86" s="6"/>
      <c r="W86" s="6"/>
      <c r="X86" s="6"/>
      <c r="Y86" s="6"/>
      <c r="Z86" s="6"/>
      <c r="AA86" s="6"/>
      <c r="AB86" s="6"/>
      <c r="AC86" s="6"/>
      <c r="AD86" s="6"/>
    </row>
    <row r="87">
      <c r="A87" s="6"/>
      <c r="B87" s="6"/>
      <c r="C87" s="6"/>
      <c r="D87" s="6"/>
      <c r="E87" s="6"/>
      <c r="F87" s="6"/>
      <c r="G87" s="6"/>
      <c r="H87" s="25"/>
      <c r="I87" s="25"/>
      <c r="J87" s="6"/>
      <c r="K87" s="6"/>
      <c r="L87" s="6"/>
      <c r="M87" s="6"/>
      <c r="N87" s="6"/>
      <c r="O87" s="6"/>
      <c r="P87" s="6"/>
      <c r="Q87" s="6"/>
      <c r="R87" s="6"/>
      <c r="S87" s="26"/>
      <c r="T87" s="26"/>
      <c r="U87" s="27"/>
      <c r="V87" s="6"/>
      <c r="W87" s="6"/>
      <c r="X87" s="6"/>
      <c r="Y87" s="6"/>
      <c r="Z87" s="6"/>
      <c r="AA87" s="6"/>
      <c r="AB87" s="6"/>
      <c r="AC87" s="6"/>
      <c r="AD87" s="6"/>
    </row>
    <row r="88">
      <c r="A88" s="6"/>
      <c r="B88" s="6"/>
      <c r="C88" s="6"/>
      <c r="D88" s="6"/>
      <c r="E88" s="6"/>
      <c r="F88" s="6"/>
      <c r="G88" s="6"/>
      <c r="H88" s="25"/>
      <c r="I88" s="25"/>
      <c r="J88" s="6"/>
      <c r="K88" s="6"/>
      <c r="L88" s="6"/>
      <c r="M88" s="6"/>
      <c r="N88" s="6"/>
      <c r="O88" s="6"/>
      <c r="P88" s="6"/>
      <c r="Q88" s="6"/>
      <c r="R88" s="6"/>
      <c r="S88" s="26"/>
      <c r="T88" s="26"/>
      <c r="U88" s="27"/>
      <c r="V88" s="6"/>
      <c r="W88" s="6"/>
      <c r="X88" s="6"/>
      <c r="Y88" s="6"/>
      <c r="Z88" s="6"/>
      <c r="AA88" s="6"/>
      <c r="AB88" s="6"/>
      <c r="AC88" s="6"/>
      <c r="AD88" s="6"/>
    </row>
    <row r="89">
      <c r="A89" s="6"/>
      <c r="B89" s="6"/>
      <c r="C89" s="6"/>
      <c r="D89" s="6"/>
      <c r="E89" s="6"/>
      <c r="F89" s="6"/>
      <c r="G89" s="6"/>
      <c r="H89" s="25"/>
      <c r="I89" s="25"/>
      <c r="J89" s="6"/>
      <c r="K89" s="6"/>
      <c r="L89" s="6"/>
      <c r="M89" s="6"/>
      <c r="N89" s="6"/>
      <c r="O89" s="6"/>
      <c r="P89" s="6"/>
      <c r="Q89" s="6"/>
      <c r="R89" s="6"/>
      <c r="S89" s="26"/>
      <c r="T89" s="26"/>
      <c r="U89" s="27"/>
      <c r="V89" s="6"/>
      <c r="W89" s="6"/>
      <c r="X89" s="6"/>
      <c r="Y89" s="6"/>
      <c r="Z89" s="6"/>
      <c r="AA89" s="6"/>
      <c r="AB89" s="6"/>
      <c r="AC89" s="6"/>
      <c r="AD89" s="6"/>
    </row>
    <row r="90">
      <c r="A90" s="6"/>
      <c r="B90" s="6"/>
      <c r="C90" s="6"/>
      <c r="D90" s="6"/>
      <c r="E90" s="6"/>
      <c r="F90" s="6"/>
      <c r="G90" s="6"/>
      <c r="H90" s="25"/>
      <c r="I90" s="25"/>
      <c r="J90" s="6"/>
      <c r="K90" s="6"/>
      <c r="L90" s="6"/>
      <c r="M90" s="6"/>
      <c r="N90" s="6"/>
      <c r="O90" s="6"/>
      <c r="P90" s="6"/>
      <c r="Q90" s="6"/>
      <c r="R90" s="6"/>
      <c r="S90" s="26"/>
      <c r="T90" s="26"/>
      <c r="U90" s="27"/>
      <c r="V90" s="6"/>
      <c r="W90" s="6"/>
      <c r="X90" s="6"/>
      <c r="Y90" s="6"/>
      <c r="Z90" s="6"/>
      <c r="AA90" s="6"/>
      <c r="AB90" s="6"/>
      <c r="AC90" s="6"/>
      <c r="AD90" s="6"/>
    </row>
    <row r="91">
      <c r="A91" s="6"/>
      <c r="B91" s="6"/>
      <c r="C91" s="6"/>
      <c r="D91" s="6"/>
      <c r="E91" s="6"/>
      <c r="F91" s="6"/>
      <c r="G91" s="6"/>
      <c r="H91" s="25"/>
      <c r="I91" s="25"/>
      <c r="J91" s="6"/>
      <c r="K91" s="6"/>
      <c r="L91" s="6"/>
      <c r="M91" s="6"/>
      <c r="N91" s="6"/>
      <c r="O91" s="6"/>
      <c r="P91" s="6"/>
      <c r="Q91" s="6"/>
      <c r="R91" s="6"/>
      <c r="S91" s="26"/>
      <c r="T91" s="26"/>
      <c r="U91" s="27"/>
      <c r="V91" s="6"/>
      <c r="W91" s="6"/>
      <c r="X91" s="6"/>
      <c r="Y91" s="6"/>
      <c r="Z91" s="6"/>
      <c r="AA91" s="6"/>
      <c r="AB91" s="6"/>
      <c r="AC91" s="6"/>
      <c r="AD91" s="6"/>
    </row>
    <row r="92">
      <c r="A92" s="6"/>
      <c r="B92" s="6"/>
      <c r="C92" s="6"/>
      <c r="D92" s="6"/>
      <c r="E92" s="6"/>
      <c r="F92" s="6"/>
      <c r="G92" s="6"/>
      <c r="H92" s="25"/>
      <c r="I92" s="25"/>
      <c r="J92" s="6"/>
      <c r="K92" s="6"/>
      <c r="L92" s="6"/>
      <c r="M92" s="6"/>
      <c r="N92" s="6"/>
      <c r="O92" s="6"/>
      <c r="P92" s="6"/>
      <c r="Q92" s="6"/>
      <c r="R92" s="6"/>
      <c r="S92" s="26"/>
      <c r="T92" s="26"/>
      <c r="U92" s="27"/>
      <c r="V92" s="6"/>
      <c r="W92" s="6"/>
      <c r="X92" s="6"/>
      <c r="Y92" s="6"/>
      <c r="Z92" s="6"/>
      <c r="AA92" s="6"/>
      <c r="AB92" s="6"/>
      <c r="AC92" s="6"/>
      <c r="AD92" s="6"/>
    </row>
    <row r="93">
      <c r="A93" s="6"/>
      <c r="B93" s="6"/>
      <c r="C93" s="6"/>
      <c r="D93" s="6"/>
      <c r="E93" s="6"/>
      <c r="F93" s="6"/>
      <c r="G93" s="6"/>
      <c r="H93" s="25"/>
      <c r="I93" s="25"/>
      <c r="J93" s="6"/>
      <c r="K93" s="6"/>
      <c r="L93" s="6"/>
      <c r="M93" s="6"/>
      <c r="N93" s="6"/>
      <c r="O93" s="6"/>
      <c r="P93" s="6"/>
      <c r="Q93" s="6"/>
      <c r="R93" s="6"/>
      <c r="S93" s="26"/>
      <c r="T93" s="26"/>
      <c r="U93" s="27"/>
      <c r="V93" s="6"/>
      <c r="W93" s="6"/>
      <c r="X93" s="6"/>
      <c r="Y93" s="6"/>
      <c r="Z93" s="6"/>
      <c r="AA93" s="6"/>
      <c r="AB93" s="6"/>
      <c r="AC93" s="6"/>
      <c r="AD93" s="6"/>
    </row>
    <row r="94">
      <c r="A94" s="6"/>
      <c r="B94" s="6"/>
      <c r="C94" s="6"/>
      <c r="D94" s="6"/>
      <c r="E94" s="6"/>
      <c r="F94" s="6"/>
      <c r="G94" s="6"/>
      <c r="H94" s="25"/>
      <c r="I94" s="25"/>
      <c r="J94" s="6"/>
      <c r="K94" s="6"/>
      <c r="L94" s="6"/>
      <c r="M94" s="6"/>
      <c r="N94" s="6"/>
      <c r="O94" s="6"/>
      <c r="P94" s="6"/>
      <c r="Q94" s="6"/>
      <c r="R94" s="6"/>
      <c r="S94" s="26"/>
      <c r="T94" s="26"/>
      <c r="U94" s="27"/>
      <c r="V94" s="6"/>
      <c r="W94" s="6"/>
      <c r="X94" s="6"/>
      <c r="Y94" s="6"/>
      <c r="Z94" s="6"/>
      <c r="AA94" s="6"/>
      <c r="AB94" s="6"/>
      <c r="AC94" s="6"/>
      <c r="AD94" s="6"/>
    </row>
    <row r="95">
      <c r="A95" s="6"/>
      <c r="B95" s="6"/>
      <c r="C95" s="6"/>
      <c r="D95" s="6"/>
      <c r="E95" s="6"/>
      <c r="F95" s="6"/>
      <c r="G95" s="6"/>
      <c r="H95" s="25"/>
      <c r="I95" s="25"/>
      <c r="J95" s="6"/>
      <c r="K95" s="6"/>
      <c r="L95" s="6"/>
      <c r="M95" s="6"/>
      <c r="N95" s="6"/>
      <c r="O95" s="6"/>
      <c r="P95" s="6"/>
      <c r="Q95" s="6"/>
      <c r="R95" s="6"/>
      <c r="S95" s="26"/>
      <c r="T95" s="26"/>
      <c r="U95" s="27"/>
      <c r="V95" s="6"/>
      <c r="W95" s="6"/>
      <c r="X95" s="6"/>
      <c r="Y95" s="6"/>
      <c r="Z95" s="6"/>
      <c r="AA95" s="6"/>
      <c r="AB95" s="6"/>
      <c r="AC95" s="6"/>
      <c r="AD95" s="6"/>
    </row>
    <row r="96">
      <c r="A96" s="6"/>
      <c r="B96" s="6"/>
      <c r="C96" s="6"/>
      <c r="D96" s="6"/>
      <c r="E96" s="6"/>
      <c r="F96" s="6"/>
      <c r="G96" s="6"/>
      <c r="H96" s="25"/>
      <c r="I96" s="25"/>
      <c r="J96" s="6"/>
      <c r="K96" s="6"/>
      <c r="L96" s="6"/>
      <c r="M96" s="6"/>
      <c r="N96" s="6"/>
      <c r="O96" s="6"/>
      <c r="P96" s="6"/>
      <c r="Q96" s="6"/>
      <c r="R96" s="6"/>
      <c r="S96" s="26"/>
      <c r="T96" s="26"/>
      <c r="U96" s="27"/>
      <c r="V96" s="6"/>
      <c r="W96" s="6"/>
      <c r="X96" s="6"/>
      <c r="Y96" s="6"/>
      <c r="Z96" s="6"/>
      <c r="AA96" s="6"/>
      <c r="AB96" s="6"/>
      <c r="AC96" s="6"/>
      <c r="AD96" s="6"/>
    </row>
    <row r="97">
      <c r="A97" s="6"/>
      <c r="B97" s="6"/>
      <c r="C97" s="6"/>
      <c r="D97" s="6"/>
      <c r="E97" s="6"/>
      <c r="F97" s="6"/>
      <c r="G97" s="6"/>
      <c r="H97" s="25"/>
      <c r="I97" s="25"/>
      <c r="J97" s="6"/>
      <c r="K97" s="6"/>
      <c r="L97" s="6"/>
      <c r="M97" s="6"/>
      <c r="N97" s="6"/>
      <c r="O97" s="6"/>
      <c r="P97" s="6"/>
      <c r="Q97" s="6"/>
      <c r="R97" s="6"/>
      <c r="S97" s="26"/>
      <c r="T97" s="26"/>
      <c r="U97" s="27"/>
      <c r="V97" s="6"/>
      <c r="W97" s="6"/>
      <c r="X97" s="6"/>
      <c r="Y97" s="6"/>
      <c r="Z97" s="6"/>
      <c r="AA97" s="6"/>
      <c r="AB97" s="6"/>
      <c r="AC97" s="6"/>
      <c r="AD97" s="6"/>
    </row>
    <row r="98">
      <c r="A98" s="6"/>
      <c r="B98" s="6"/>
      <c r="C98" s="6"/>
      <c r="D98" s="6"/>
      <c r="E98" s="6"/>
      <c r="F98" s="6"/>
      <c r="G98" s="6"/>
      <c r="H98" s="25"/>
      <c r="I98" s="25"/>
      <c r="J98" s="6"/>
      <c r="K98" s="6"/>
      <c r="L98" s="6"/>
      <c r="M98" s="6"/>
      <c r="N98" s="6"/>
      <c r="O98" s="6"/>
      <c r="P98" s="6"/>
      <c r="Q98" s="6"/>
      <c r="R98" s="6"/>
      <c r="S98" s="26"/>
      <c r="T98" s="26"/>
      <c r="U98" s="27"/>
      <c r="V98" s="6"/>
      <c r="W98" s="6"/>
      <c r="X98" s="6"/>
      <c r="Y98" s="6"/>
      <c r="Z98" s="6"/>
      <c r="AA98" s="6"/>
      <c r="AB98" s="6"/>
      <c r="AC98" s="6"/>
      <c r="AD98" s="6"/>
    </row>
    <row r="99">
      <c r="A99" s="6"/>
      <c r="B99" s="6"/>
      <c r="C99" s="6"/>
      <c r="D99" s="6"/>
      <c r="E99" s="6"/>
      <c r="F99" s="6"/>
      <c r="G99" s="6"/>
      <c r="H99" s="25"/>
      <c r="I99" s="25"/>
      <c r="J99" s="6"/>
      <c r="K99" s="6"/>
      <c r="L99" s="6"/>
      <c r="M99" s="6"/>
      <c r="N99" s="6"/>
      <c r="O99" s="6"/>
      <c r="P99" s="6"/>
      <c r="Q99" s="6"/>
      <c r="R99" s="6"/>
      <c r="S99" s="26"/>
      <c r="T99" s="26"/>
      <c r="U99" s="27"/>
      <c r="V99" s="6"/>
      <c r="W99" s="6"/>
      <c r="X99" s="6"/>
      <c r="Y99" s="6"/>
      <c r="Z99" s="6"/>
      <c r="AA99" s="6"/>
      <c r="AB99" s="6"/>
      <c r="AC99" s="6"/>
      <c r="AD99" s="6"/>
    </row>
    <row r="100">
      <c r="A100" s="6"/>
      <c r="B100" s="6"/>
      <c r="C100" s="6"/>
      <c r="D100" s="6"/>
      <c r="E100" s="6"/>
      <c r="F100" s="6"/>
      <c r="G100" s="6"/>
      <c r="H100" s="25"/>
      <c r="I100" s="25"/>
      <c r="J100" s="6"/>
      <c r="K100" s="6"/>
      <c r="L100" s="6"/>
      <c r="M100" s="6"/>
      <c r="N100" s="6"/>
      <c r="O100" s="6"/>
      <c r="P100" s="6"/>
      <c r="Q100" s="6"/>
      <c r="R100" s="6"/>
      <c r="S100" s="26"/>
      <c r="T100" s="26"/>
      <c r="U100" s="27"/>
      <c r="V100" s="6"/>
      <c r="W100" s="6"/>
      <c r="X100" s="6"/>
      <c r="Y100" s="6"/>
      <c r="Z100" s="6"/>
      <c r="AA100" s="6"/>
      <c r="AB100" s="6"/>
      <c r="AC100" s="6"/>
      <c r="AD100" s="6"/>
    </row>
    <row r="101">
      <c r="A101" s="6"/>
      <c r="B101" s="6"/>
      <c r="C101" s="6"/>
      <c r="D101" s="6"/>
      <c r="E101" s="6"/>
      <c r="F101" s="6"/>
      <c r="G101" s="6"/>
      <c r="H101" s="25"/>
      <c r="I101" s="25"/>
      <c r="J101" s="6"/>
      <c r="K101" s="6"/>
      <c r="L101" s="6"/>
      <c r="M101" s="6"/>
      <c r="N101" s="6"/>
      <c r="O101" s="6"/>
      <c r="P101" s="6"/>
      <c r="Q101" s="6"/>
      <c r="R101" s="6"/>
      <c r="S101" s="26"/>
      <c r="T101" s="26"/>
      <c r="U101" s="27"/>
      <c r="V101" s="6"/>
      <c r="W101" s="6"/>
      <c r="X101" s="6"/>
      <c r="Y101" s="6"/>
      <c r="Z101" s="6"/>
      <c r="AA101" s="6"/>
      <c r="AB101" s="6"/>
      <c r="AC101" s="6"/>
      <c r="AD101" s="6"/>
    </row>
    <row r="102">
      <c r="A102" s="6"/>
      <c r="B102" s="6"/>
      <c r="C102" s="6"/>
      <c r="D102" s="6"/>
      <c r="E102" s="6"/>
      <c r="F102" s="6"/>
      <c r="G102" s="6"/>
      <c r="H102" s="25"/>
      <c r="I102" s="25"/>
      <c r="J102" s="6"/>
      <c r="K102" s="6"/>
      <c r="L102" s="6"/>
      <c r="M102" s="6"/>
      <c r="N102" s="6"/>
      <c r="O102" s="6"/>
      <c r="P102" s="6"/>
      <c r="Q102" s="6"/>
      <c r="R102" s="6"/>
      <c r="S102" s="26"/>
      <c r="T102" s="26"/>
      <c r="U102" s="27"/>
      <c r="V102" s="6"/>
      <c r="W102" s="6"/>
      <c r="X102" s="6"/>
      <c r="Y102" s="6"/>
      <c r="Z102" s="6"/>
      <c r="AA102" s="6"/>
      <c r="AB102" s="6"/>
      <c r="AC102" s="6"/>
      <c r="AD102" s="6"/>
    </row>
    <row r="103">
      <c r="A103" s="6"/>
      <c r="B103" s="6"/>
      <c r="C103" s="6"/>
      <c r="D103" s="6"/>
      <c r="E103" s="6"/>
      <c r="F103" s="6"/>
      <c r="G103" s="6"/>
      <c r="H103" s="25"/>
      <c r="I103" s="25"/>
      <c r="J103" s="6"/>
      <c r="K103" s="6"/>
      <c r="L103" s="6"/>
      <c r="M103" s="6"/>
      <c r="N103" s="6"/>
      <c r="O103" s="6"/>
      <c r="P103" s="6"/>
      <c r="Q103" s="6"/>
      <c r="R103" s="6"/>
      <c r="S103" s="26"/>
      <c r="T103" s="26"/>
      <c r="U103" s="27"/>
      <c r="V103" s="6"/>
      <c r="W103" s="6"/>
      <c r="X103" s="6"/>
      <c r="Y103" s="6"/>
      <c r="Z103" s="6"/>
      <c r="AA103" s="6"/>
      <c r="AB103" s="6"/>
      <c r="AC103" s="6"/>
      <c r="AD103" s="6"/>
    </row>
    <row r="104">
      <c r="A104" s="6"/>
      <c r="B104" s="6"/>
      <c r="C104" s="6"/>
      <c r="D104" s="6"/>
      <c r="E104" s="6"/>
      <c r="F104" s="6"/>
      <c r="G104" s="6"/>
      <c r="H104" s="25"/>
      <c r="I104" s="25"/>
      <c r="J104" s="6"/>
      <c r="K104" s="6"/>
      <c r="L104" s="6"/>
      <c r="M104" s="6"/>
      <c r="N104" s="6"/>
      <c r="O104" s="6"/>
      <c r="P104" s="6"/>
      <c r="Q104" s="6"/>
      <c r="R104" s="6"/>
      <c r="S104" s="26"/>
      <c r="T104" s="26"/>
      <c r="U104" s="27"/>
      <c r="V104" s="6"/>
      <c r="W104" s="6"/>
      <c r="X104" s="6"/>
      <c r="Y104" s="6"/>
      <c r="Z104" s="6"/>
      <c r="AA104" s="6"/>
      <c r="AB104" s="6"/>
      <c r="AC104" s="6"/>
      <c r="AD104" s="6"/>
    </row>
    <row r="105">
      <c r="A105" s="6"/>
      <c r="B105" s="6"/>
      <c r="C105" s="6"/>
      <c r="D105" s="6"/>
      <c r="E105" s="6"/>
      <c r="F105" s="6"/>
      <c r="G105" s="6"/>
      <c r="H105" s="25"/>
      <c r="I105" s="25"/>
      <c r="J105" s="6"/>
      <c r="K105" s="6"/>
      <c r="L105" s="6"/>
      <c r="M105" s="6"/>
      <c r="N105" s="6"/>
      <c r="O105" s="6"/>
      <c r="P105" s="6"/>
      <c r="Q105" s="6"/>
      <c r="R105" s="6"/>
      <c r="S105" s="26"/>
      <c r="T105" s="26"/>
      <c r="U105" s="27"/>
      <c r="V105" s="6"/>
      <c r="W105" s="6"/>
      <c r="X105" s="6"/>
      <c r="Y105" s="6"/>
      <c r="Z105" s="6"/>
      <c r="AA105" s="6"/>
      <c r="AB105" s="6"/>
      <c r="AC105" s="6"/>
      <c r="AD105" s="6"/>
    </row>
    <row r="106">
      <c r="A106" s="6"/>
      <c r="B106" s="6"/>
      <c r="C106" s="6"/>
      <c r="D106" s="6"/>
      <c r="E106" s="6"/>
      <c r="F106" s="6"/>
      <c r="G106" s="6"/>
      <c r="H106" s="25"/>
      <c r="I106" s="25"/>
      <c r="J106" s="6"/>
      <c r="K106" s="6"/>
      <c r="L106" s="6"/>
      <c r="M106" s="6"/>
      <c r="N106" s="6"/>
      <c r="O106" s="6"/>
      <c r="P106" s="6"/>
      <c r="Q106" s="6"/>
      <c r="R106" s="6"/>
      <c r="S106" s="26"/>
      <c r="T106" s="26"/>
      <c r="U106" s="27"/>
      <c r="V106" s="6"/>
      <c r="W106" s="6"/>
      <c r="X106" s="6"/>
      <c r="Y106" s="6"/>
      <c r="Z106" s="6"/>
      <c r="AA106" s="6"/>
      <c r="AB106" s="6"/>
      <c r="AC106" s="6"/>
      <c r="AD106" s="6"/>
    </row>
    <row r="107">
      <c r="A107" s="6"/>
      <c r="B107" s="6"/>
      <c r="C107" s="6"/>
      <c r="D107" s="6"/>
      <c r="E107" s="6"/>
      <c r="F107" s="6"/>
      <c r="G107" s="6"/>
      <c r="H107" s="25"/>
      <c r="I107" s="25"/>
      <c r="J107" s="6"/>
      <c r="K107" s="6"/>
      <c r="L107" s="6"/>
      <c r="M107" s="6"/>
      <c r="N107" s="6"/>
      <c r="O107" s="6"/>
      <c r="P107" s="6"/>
      <c r="Q107" s="6"/>
      <c r="R107" s="6"/>
      <c r="S107" s="26"/>
      <c r="T107" s="26"/>
      <c r="U107" s="27"/>
      <c r="V107" s="6"/>
      <c r="W107" s="6"/>
      <c r="X107" s="6"/>
      <c r="Y107" s="6"/>
      <c r="Z107" s="6"/>
      <c r="AA107" s="6"/>
      <c r="AB107" s="6"/>
      <c r="AC107" s="6"/>
      <c r="AD107" s="6"/>
    </row>
    <row r="108">
      <c r="A108" s="6"/>
      <c r="B108" s="6"/>
      <c r="C108" s="6"/>
      <c r="D108" s="6"/>
      <c r="E108" s="6"/>
      <c r="F108" s="6"/>
      <c r="G108" s="6"/>
      <c r="H108" s="25"/>
      <c r="I108" s="25"/>
      <c r="J108" s="6"/>
      <c r="K108" s="6"/>
      <c r="L108" s="6"/>
      <c r="M108" s="6"/>
      <c r="N108" s="6"/>
      <c r="O108" s="6"/>
      <c r="P108" s="6"/>
      <c r="Q108" s="6"/>
      <c r="R108" s="6"/>
      <c r="S108" s="26"/>
      <c r="T108" s="26"/>
      <c r="U108" s="27"/>
      <c r="V108" s="6"/>
      <c r="W108" s="6"/>
      <c r="X108" s="6"/>
      <c r="Y108" s="6"/>
      <c r="Z108" s="6"/>
      <c r="AA108" s="6"/>
      <c r="AB108" s="6"/>
      <c r="AC108" s="6"/>
      <c r="AD108" s="6"/>
    </row>
    <row r="109">
      <c r="A109" s="6"/>
      <c r="B109" s="6"/>
      <c r="C109" s="6"/>
      <c r="D109" s="6"/>
      <c r="E109" s="6"/>
      <c r="F109" s="6"/>
      <c r="G109" s="6"/>
      <c r="H109" s="25"/>
      <c r="I109" s="25"/>
      <c r="J109" s="6"/>
      <c r="K109" s="6"/>
      <c r="L109" s="6"/>
      <c r="M109" s="6"/>
      <c r="N109" s="6"/>
      <c r="O109" s="6"/>
      <c r="P109" s="6"/>
      <c r="Q109" s="6"/>
      <c r="R109" s="6"/>
      <c r="S109" s="26"/>
      <c r="T109" s="26"/>
      <c r="U109" s="27"/>
      <c r="V109" s="6"/>
      <c r="W109" s="6"/>
      <c r="X109" s="6"/>
      <c r="Y109" s="6"/>
      <c r="Z109" s="6"/>
      <c r="AA109" s="6"/>
      <c r="AB109" s="6"/>
      <c r="AC109" s="6"/>
      <c r="AD109" s="6"/>
    </row>
    <row r="110">
      <c r="A110" s="6"/>
      <c r="B110" s="6"/>
      <c r="C110" s="6"/>
      <c r="D110" s="6"/>
      <c r="E110" s="6"/>
      <c r="F110" s="6"/>
      <c r="G110" s="6"/>
      <c r="H110" s="25"/>
      <c r="I110" s="25"/>
      <c r="J110" s="6"/>
      <c r="K110" s="6"/>
      <c r="L110" s="6"/>
      <c r="M110" s="6"/>
      <c r="N110" s="6"/>
      <c r="O110" s="6"/>
      <c r="P110" s="6"/>
      <c r="Q110" s="6"/>
      <c r="R110" s="6"/>
      <c r="S110" s="26"/>
      <c r="T110" s="26"/>
      <c r="U110" s="27"/>
      <c r="V110" s="6"/>
      <c r="W110" s="6"/>
      <c r="X110" s="6"/>
      <c r="Y110" s="6"/>
      <c r="Z110" s="6"/>
      <c r="AA110" s="6"/>
      <c r="AB110" s="6"/>
      <c r="AC110" s="6"/>
      <c r="AD110" s="6"/>
    </row>
    <row r="111">
      <c r="A111" s="6"/>
      <c r="B111" s="6"/>
      <c r="C111" s="6"/>
      <c r="D111" s="6"/>
      <c r="E111" s="6"/>
      <c r="F111" s="6"/>
      <c r="G111" s="6"/>
      <c r="H111" s="25"/>
      <c r="I111" s="25"/>
      <c r="J111" s="6"/>
      <c r="K111" s="6"/>
      <c r="L111" s="6"/>
      <c r="M111" s="6"/>
      <c r="N111" s="6"/>
      <c r="O111" s="6"/>
      <c r="P111" s="6"/>
      <c r="Q111" s="6"/>
      <c r="R111" s="6"/>
      <c r="S111" s="26"/>
      <c r="T111" s="26"/>
      <c r="U111" s="27"/>
      <c r="V111" s="6"/>
      <c r="W111" s="6"/>
      <c r="X111" s="6"/>
      <c r="Y111" s="6"/>
      <c r="Z111" s="6"/>
      <c r="AA111" s="6"/>
      <c r="AB111" s="6"/>
      <c r="AC111" s="6"/>
      <c r="AD111" s="6"/>
    </row>
    <row r="112">
      <c r="A112" s="6"/>
      <c r="B112" s="6"/>
      <c r="C112" s="6"/>
      <c r="D112" s="6"/>
      <c r="E112" s="6"/>
      <c r="F112" s="6"/>
      <c r="G112" s="6"/>
      <c r="H112" s="25"/>
      <c r="I112" s="25"/>
      <c r="J112" s="6"/>
      <c r="K112" s="6"/>
      <c r="L112" s="6"/>
      <c r="M112" s="6"/>
      <c r="N112" s="6"/>
      <c r="O112" s="6"/>
      <c r="P112" s="6"/>
      <c r="Q112" s="6"/>
      <c r="R112" s="6"/>
      <c r="S112" s="26"/>
      <c r="T112" s="26"/>
      <c r="U112" s="27"/>
      <c r="V112" s="6"/>
      <c r="W112" s="6"/>
      <c r="X112" s="6"/>
      <c r="Y112" s="6"/>
      <c r="Z112" s="6"/>
      <c r="AA112" s="6"/>
      <c r="AB112" s="6"/>
      <c r="AC112" s="6"/>
      <c r="AD112" s="6"/>
    </row>
    <row r="113">
      <c r="A113" s="6"/>
      <c r="B113" s="6"/>
      <c r="C113" s="6"/>
      <c r="D113" s="6"/>
      <c r="E113" s="6"/>
      <c r="F113" s="6"/>
      <c r="G113" s="6"/>
      <c r="H113" s="25"/>
      <c r="I113" s="25"/>
      <c r="J113" s="6"/>
      <c r="K113" s="6"/>
      <c r="L113" s="6"/>
      <c r="M113" s="6"/>
      <c r="N113" s="6"/>
      <c r="O113" s="6"/>
      <c r="P113" s="6"/>
      <c r="Q113" s="6"/>
      <c r="R113" s="6"/>
      <c r="S113" s="26"/>
      <c r="T113" s="26"/>
      <c r="U113" s="27"/>
      <c r="V113" s="6"/>
      <c r="W113" s="6"/>
      <c r="X113" s="6"/>
      <c r="Y113" s="6"/>
      <c r="Z113" s="6"/>
      <c r="AA113" s="6"/>
      <c r="AB113" s="6"/>
      <c r="AC113" s="6"/>
      <c r="AD113" s="6"/>
    </row>
    <row r="114">
      <c r="A114" s="6"/>
      <c r="B114" s="6"/>
      <c r="C114" s="6"/>
      <c r="D114" s="6"/>
      <c r="E114" s="6"/>
      <c r="F114" s="6"/>
      <c r="G114" s="6"/>
      <c r="H114" s="25"/>
      <c r="I114" s="25"/>
      <c r="J114" s="6"/>
      <c r="K114" s="6"/>
      <c r="L114" s="6"/>
      <c r="M114" s="6"/>
      <c r="N114" s="6"/>
      <c r="O114" s="6"/>
      <c r="P114" s="6"/>
      <c r="Q114" s="6"/>
      <c r="R114" s="6"/>
      <c r="S114" s="26"/>
      <c r="T114" s="26"/>
      <c r="U114" s="27"/>
      <c r="V114" s="6"/>
      <c r="W114" s="6"/>
      <c r="X114" s="6"/>
      <c r="Y114" s="6"/>
      <c r="Z114" s="6"/>
      <c r="AA114" s="6"/>
      <c r="AB114" s="6"/>
      <c r="AC114" s="6"/>
      <c r="AD114" s="6"/>
    </row>
    <row r="115">
      <c r="A115" s="6"/>
      <c r="B115" s="6"/>
      <c r="C115" s="6"/>
      <c r="D115" s="6"/>
      <c r="E115" s="6"/>
      <c r="F115" s="6"/>
      <c r="G115" s="6"/>
      <c r="H115" s="25"/>
      <c r="I115" s="25"/>
      <c r="J115" s="6"/>
      <c r="K115" s="6"/>
      <c r="L115" s="6"/>
      <c r="M115" s="6"/>
      <c r="N115" s="6"/>
      <c r="O115" s="6"/>
      <c r="P115" s="6"/>
      <c r="Q115" s="6"/>
      <c r="R115" s="6"/>
      <c r="S115" s="26"/>
      <c r="T115" s="26"/>
      <c r="U115" s="27"/>
      <c r="V115" s="6"/>
      <c r="W115" s="6"/>
      <c r="X115" s="6"/>
      <c r="Y115" s="6"/>
      <c r="Z115" s="6"/>
      <c r="AA115" s="6"/>
      <c r="AB115" s="6"/>
      <c r="AC115" s="6"/>
      <c r="AD115" s="6"/>
    </row>
    <row r="116">
      <c r="A116" s="6"/>
      <c r="B116" s="6"/>
      <c r="C116" s="6"/>
      <c r="D116" s="6"/>
      <c r="E116" s="6"/>
      <c r="F116" s="6"/>
      <c r="G116" s="6"/>
      <c r="H116" s="25"/>
      <c r="I116" s="25"/>
      <c r="J116" s="6"/>
      <c r="K116" s="6"/>
      <c r="L116" s="6"/>
      <c r="M116" s="6"/>
      <c r="N116" s="6"/>
      <c r="O116" s="6"/>
      <c r="P116" s="6"/>
      <c r="Q116" s="6"/>
      <c r="R116" s="6"/>
      <c r="S116" s="26"/>
      <c r="T116" s="26"/>
      <c r="U116" s="27"/>
      <c r="V116" s="6"/>
      <c r="W116" s="6"/>
      <c r="X116" s="6"/>
      <c r="Y116" s="6"/>
      <c r="Z116" s="6"/>
      <c r="AA116" s="6"/>
      <c r="AB116" s="6"/>
      <c r="AC116" s="6"/>
      <c r="AD116" s="6"/>
    </row>
    <row r="117">
      <c r="A117" s="6"/>
      <c r="B117" s="6"/>
      <c r="C117" s="6"/>
      <c r="D117" s="6"/>
      <c r="E117" s="6"/>
      <c r="F117" s="6"/>
      <c r="G117" s="6"/>
      <c r="H117" s="25"/>
      <c r="I117" s="25"/>
      <c r="J117" s="6"/>
      <c r="K117" s="6"/>
      <c r="L117" s="6"/>
      <c r="M117" s="6"/>
      <c r="N117" s="6"/>
      <c r="O117" s="6"/>
      <c r="P117" s="6"/>
      <c r="Q117" s="6"/>
      <c r="R117" s="6"/>
      <c r="S117" s="26"/>
      <c r="T117" s="26"/>
      <c r="U117" s="27"/>
      <c r="V117" s="6"/>
      <c r="W117" s="6"/>
      <c r="X117" s="6"/>
      <c r="Y117" s="6"/>
      <c r="Z117" s="6"/>
      <c r="AA117" s="6"/>
      <c r="AB117" s="6"/>
      <c r="AC117" s="6"/>
      <c r="AD117" s="6"/>
    </row>
    <row r="118">
      <c r="A118" s="6"/>
      <c r="B118" s="6"/>
      <c r="C118" s="6"/>
      <c r="D118" s="6"/>
      <c r="E118" s="6"/>
      <c r="F118" s="6"/>
      <c r="G118" s="6"/>
      <c r="H118" s="25"/>
      <c r="I118" s="25"/>
      <c r="J118" s="6"/>
      <c r="K118" s="6"/>
      <c r="L118" s="6"/>
      <c r="M118" s="6"/>
      <c r="N118" s="6"/>
      <c r="O118" s="6"/>
      <c r="P118" s="6"/>
      <c r="Q118" s="6"/>
      <c r="R118" s="6"/>
      <c r="S118" s="26"/>
      <c r="T118" s="26"/>
      <c r="U118" s="27"/>
      <c r="V118" s="6"/>
      <c r="W118" s="6"/>
      <c r="X118" s="6"/>
      <c r="Y118" s="6"/>
      <c r="Z118" s="6"/>
      <c r="AA118" s="6"/>
      <c r="AB118" s="6"/>
      <c r="AC118" s="6"/>
      <c r="AD118" s="6"/>
    </row>
    <row r="119">
      <c r="A119" s="6"/>
      <c r="B119" s="6"/>
      <c r="C119" s="6"/>
      <c r="D119" s="6"/>
      <c r="E119" s="6"/>
      <c r="F119" s="6"/>
      <c r="G119" s="6"/>
      <c r="H119" s="25"/>
      <c r="I119" s="25"/>
      <c r="J119" s="6"/>
      <c r="K119" s="6"/>
      <c r="L119" s="6"/>
      <c r="M119" s="6"/>
      <c r="N119" s="6"/>
      <c r="O119" s="6"/>
      <c r="P119" s="6"/>
      <c r="Q119" s="6"/>
      <c r="R119" s="6"/>
      <c r="S119" s="26"/>
      <c r="T119" s="26"/>
      <c r="U119" s="27"/>
      <c r="V119" s="6"/>
      <c r="W119" s="6"/>
      <c r="X119" s="6"/>
      <c r="Y119" s="6"/>
      <c r="Z119" s="6"/>
      <c r="AA119" s="6"/>
      <c r="AB119" s="6"/>
      <c r="AC119" s="6"/>
      <c r="AD119" s="6"/>
    </row>
    <row r="120">
      <c r="A120" s="6"/>
      <c r="B120" s="6"/>
      <c r="C120" s="6"/>
      <c r="D120" s="6"/>
      <c r="E120" s="6"/>
      <c r="F120" s="6"/>
      <c r="G120" s="6"/>
      <c r="H120" s="25"/>
      <c r="I120" s="25"/>
      <c r="J120" s="6"/>
      <c r="K120" s="6"/>
      <c r="L120" s="6"/>
      <c r="M120" s="6"/>
      <c r="N120" s="6"/>
      <c r="O120" s="6"/>
      <c r="P120" s="6"/>
      <c r="Q120" s="6"/>
      <c r="R120" s="6"/>
      <c r="S120" s="26"/>
      <c r="T120" s="26"/>
      <c r="U120" s="27"/>
      <c r="V120" s="6"/>
      <c r="W120" s="6"/>
      <c r="X120" s="6"/>
      <c r="Y120" s="6"/>
      <c r="Z120" s="6"/>
      <c r="AA120" s="6"/>
      <c r="AB120" s="6"/>
      <c r="AC120" s="6"/>
      <c r="AD120" s="6"/>
    </row>
    <row r="121">
      <c r="A121" s="6"/>
      <c r="B121" s="6"/>
      <c r="C121" s="6"/>
      <c r="D121" s="6"/>
      <c r="E121" s="6"/>
      <c r="F121" s="6"/>
      <c r="G121" s="6"/>
      <c r="H121" s="25"/>
      <c r="I121" s="25"/>
      <c r="J121" s="6"/>
      <c r="K121" s="6"/>
      <c r="L121" s="6"/>
      <c r="M121" s="6"/>
      <c r="N121" s="6"/>
      <c r="O121" s="6"/>
      <c r="P121" s="6"/>
      <c r="Q121" s="6"/>
      <c r="R121" s="6"/>
      <c r="S121" s="26"/>
      <c r="T121" s="26"/>
      <c r="U121" s="27"/>
      <c r="V121" s="6"/>
      <c r="W121" s="6"/>
      <c r="X121" s="6"/>
      <c r="Y121" s="6"/>
      <c r="Z121" s="6"/>
      <c r="AA121" s="6"/>
      <c r="AB121" s="6"/>
      <c r="AC121" s="6"/>
      <c r="AD121" s="6"/>
    </row>
    <row r="122">
      <c r="A122" s="6"/>
      <c r="B122" s="6"/>
      <c r="C122" s="6"/>
      <c r="D122" s="6"/>
      <c r="E122" s="6"/>
      <c r="F122" s="6"/>
      <c r="G122" s="6"/>
      <c r="H122" s="25"/>
      <c r="I122" s="25"/>
      <c r="J122" s="6"/>
      <c r="K122" s="6"/>
      <c r="L122" s="6"/>
      <c r="M122" s="6"/>
      <c r="N122" s="6"/>
      <c r="O122" s="6"/>
      <c r="P122" s="6"/>
      <c r="Q122" s="6"/>
      <c r="R122" s="6"/>
      <c r="S122" s="26"/>
      <c r="T122" s="26"/>
      <c r="U122" s="27"/>
      <c r="V122" s="6"/>
      <c r="W122" s="6"/>
      <c r="X122" s="6"/>
      <c r="Y122" s="6"/>
      <c r="Z122" s="6"/>
      <c r="AA122" s="6"/>
      <c r="AB122" s="6"/>
      <c r="AC122" s="6"/>
      <c r="AD122" s="6"/>
    </row>
    <row r="123">
      <c r="A123" s="6"/>
      <c r="B123" s="6"/>
      <c r="C123" s="6"/>
      <c r="D123" s="6"/>
      <c r="E123" s="6"/>
      <c r="F123" s="6"/>
      <c r="G123" s="6"/>
      <c r="H123" s="25"/>
      <c r="I123" s="25"/>
      <c r="J123" s="6"/>
      <c r="K123" s="6"/>
      <c r="L123" s="6"/>
      <c r="M123" s="6"/>
      <c r="N123" s="6"/>
      <c r="O123" s="6"/>
      <c r="P123" s="6"/>
      <c r="Q123" s="6"/>
      <c r="R123" s="6"/>
      <c r="S123" s="26"/>
      <c r="T123" s="26"/>
      <c r="U123" s="27"/>
      <c r="V123" s="6"/>
      <c r="W123" s="6"/>
      <c r="X123" s="6"/>
      <c r="Y123" s="6"/>
      <c r="Z123" s="6"/>
      <c r="AA123" s="6"/>
      <c r="AB123" s="6"/>
      <c r="AC123" s="6"/>
      <c r="AD123" s="6"/>
    </row>
    <row r="124">
      <c r="A124" s="6"/>
      <c r="B124" s="6"/>
      <c r="C124" s="6"/>
      <c r="D124" s="6"/>
      <c r="E124" s="6"/>
      <c r="F124" s="6"/>
      <c r="G124" s="6"/>
      <c r="H124" s="25"/>
      <c r="I124" s="25"/>
      <c r="J124" s="6"/>
      <c r="K124" s="6"/>
      <c r="L124" s="6"/>
      <c r="M124" s="6"/>
      <c r="N124" s="6"/>
      <c r="O124" s="6"/>
      <c r="P124" s="6"/>
      <c r="Q124" s="6"/>
      <c r="R124" s="6"/>
      <c r="S124" s="26"/>
      <c r="T124" s="26"/>
      <c r="U124" s="27"/>
      <c r="V124" s="6"/>
      <c r="W124" s="6"/>
      <c r="X124" s="6"/>
      <c r="Y124" s="6"/>
      <c r="Z124" s="6"/>
      <c r="AA124" s="6"/>
      <c r="AB124" s="6"/>
      <c r="AC124" s="6"/>
      <c r="AD124" s="6"/>
    </row>
    <row r="125">
      <c r="A125" s="6"/>
      <c r="B125" s="6"/>
      <c r="C125" s="6"/>
      <c r="D125" s="6"/>
      <c r="E125" s="6"/>
      <c r="F125" s="6"/>
      <c r="G125" s="6"/>
      <c r="H125" s="25"/>
      <c r="I125" s="25"/>
      <c r="J125" s="6"/>
      <c r="K125" s="6"/>
      <c r="L125" s="6"/>
      <c r="M125" s="6"/>
      <c r="N125" s="6"/>
      <c r="O125" s="6"/>
      <c r="P125" s="6"/>
      <c r="Q125" s="6"/>
      <c r="R125" s="6"/>
      <c r="S125" s="26"/>
      <c r="T125" s="26"/>
      <c r="U125" s="27"/>
      <c r="V125" s="6"/>
      <c r="W125" s="6"/>
      <c r="X125" s="6"/>
      <c r="Y125" s="6"/>
      <c r="Z125" s="6"/>
      <c r="AA125" s="6"/>
      <c r="AB125" s="6"/>
      <c r="AC125" s="6"/>
      <c r="AD125" s="6"/>
    </row>
    <row r="126">
      <c r="A126" s="6"/>
      <c r="B126" s="6"/>
      <c r="C126" s="6"/>
      <c r="D126" s="6"/>
      <c r="E126" s="6"/>
      <c r="F126" s="6"/>
      <c r="G126" s="6"/>
      <c r="H126" s="25"/>
      <c r="I126" s="25"/>
      <c r="J126" s="6"/>
      <c r="K126" s="6"/>
      <c r="L126" s="6"/>
      <c r="M126" s="6"/>
      <c r="N126" s="6"/>
      <c r="O126" s="6"/>
      <c r="P126" s="6"/>
      <c r="Q126" s="6"/>
      <c r="R126" s="6"/>
      <c r="S126" s="26"/>
      <c r="T126" s="26"/>
      <c r="U126" s="27"/>
      <c r="V126" s="6"/>
      <c r="W126" s="6"/>
      <c r="X126" s="6"/>
      <c r="Y126" s="6"/>
      <c r="Z126" s="6"/>
      <c r="AA126" s="6"/>
      <c r="AB126" s="6"/>
      <c r="AC126" s="6"/>
      <c r="AD126" s="6"/>
    </row>
    <row r="127">
      <c r="A127" s="6"/>
      <c r="B127" s="6"/>
      <c r="C127" s="6"/>
      <c r="D127" s="6"/>
      <c r="E127" s="6"/>
      <c r="F127" s="6"/>
      <c r="G127" s="6"/>
      <c r="H127" s="25"/>
      <c r="I127" s="25"/>
      <c r="J127" s="6"/>
      <c r="K127" s="6"/>
      <c r="L127" s="6"/>
      <c r="M127" s="6"/>
      <c r="N127" s="6"/>
      <c r="O127" s="6"/>
      <c r="P127" s="6"/>
      <c r="Q127" s="6"/>
      <c r="R127" s="6"/>
      <c r="S127" s="26"/>
      <c r="T127" s="26"/>
      <c r="U127" s="27"/>
      <c r="V127" s="6"/>
      <c r="W127" s="6"/>
      <c r="X127" s="6"/>
      <c r="Y127" s="6"/>
      <c r="Z127" s="6"/>
      <c r="AA127" s="6"/>
      <c r="AB127" s="6"/>
      <c r="AC127" s="6"/>
      <c r="AD127" s="6"/>
    </row>
    <row r="128">
      <c r="A128" s="6"/>
      <c r="B128" s="6"/>
      <c r="C128" s="6"/>
      <c r="D128" s="6"/>
      <c r="E128" s="6"/>
      <c r="F128" s="6"/>
      <c r="G128" s="6"/>
      <c r="H128" s="25"/>
      <c r="I128" s="25"/>
      <c r="J128" s="6"/>
      <c r="K128" s="6"/>
      <c r="L128" s="6"/>
      <c r="M128" s="6"/>
      <c r="N128" s="6"/>
      <c r="O128" s="6"/>
      <c r="P128" s="6"/>
      <c r="Q128" s="6"/>
      <c r="R128" s="6"/>
      <c r="S128" s="26"/>
      <c r="T128" s="26"/>
      <c r="U128" s="27"/>
      <c r="V128" s="6"/>
      <c r="W128" s="6"/>
      <c r="X128" s="6"/>
      <c r="Y128" s="6"/>
      <c r="Z128" s="6"/>
      <c r="AA128" s="6"/>
      <c r="AB128" s="6"/>
      <c r="AC128" s="6"/>
      <c r="AD128" s="6"/>
    </row>
    <row r="129">
      <c r="A129" s="6"/>
      <c r="B129" s="6"/>
      <c r="C129" s="6"/>
      <c r="D129" s="6"/>
      <c r="E129" s="6"/>
      <c r="F129" s="6"/>
      <c r="G129" s="6"/>
      <c r="H129" s="25"/>
      <c r="I129" s="25"/>
      <c r="J129" s="6"/>
      <c r="K129" s="6"/>
      <c r="L129" s="6"/>
      <c r="M129" s="6"/>
      <c r="N129" s="6"/>
      <c r="O129" s="6"/>
      <c r="P129" s="6"/>
      <c r="Q129" s="6"/>
      <c r="R129" s="6"/>
      <c r="S129" s="26"/>
      <c r="T129" s="26"/>
      <c r="U129" s="27"/>
      <c r="V129" s="6"/>
      <c r="W129" s="6"/>
      <c r="X129" s="6"/>
      <c r="Y129" s="6"/>
      <c r="Z129" s="6"/>
      <c r="AA129" s="6"/>
      <c r="AB129" s="6"/>
      <c r="AC129" s="6"/>
      <c r="AD129" s="6"/>
    </row>
    <row r="130">
      <c r="A130" s="6"/>
      <c r="B130" s="6"/>
      <c r="C130" s="6"/>
      <c r="D130" s="6"/>
      <c r="E130" s="6"/>
      <c r="F130" s="6"/>
      <c r="G130" s="6"/>
      <c r="H130" s="25"/>
      <c r="I130" s="25"/>
      <c r="J130" s="6"/>
      <c r="K130" s="6"/>
      <c r="L130" s="6"/>
      <c r="M130" s="6"/>
      <c r="N130" s="6"/>
      <c r="O130" s="6"/>
      <c r="P130" s="6"/>
      <c r="Q130" s="6"/>
      <c r="R130" s="6"/>
      <c r="S130" s="26"/>
      <c r="T130" s="26"/>
      <c r="U130" s="27"/>
      <c r="V130" s="6"/>
      <c r="W130" s="6"/>
      <c r="X130" s="6"/>
      <c r="Y130" s="6"/>
      <c r="Z130" s="6"/>
      <c r="AA130" s="6"/>
      <c r="AB130" s="6"/>
      <c r="AC130" s="6"/>
      <c r="AD130" s="6"/>
    </row>
    <row r="131">
      <c r="A131" s="6"/>
      <c r="B131" s="6"/>
      <c r="C131" s="6"/>
      <c r="D131" s="6"/>
      <c r="E131" s="6"/>
      <c r="F131" s="6"/>
      <c r="G131" s="6"/>
      <c r="H131" s="25"/>
      <c r="I131" s="25"/>
      <c r="J131" s="6"/>
      <c r="K131" s="6"/>
      <c r="L131" s="6"/>
      <c r="M131" s="6"/>
      <c r="N131" s="6"/>
      <c r="O131" s="6"/>
      <c r="P131" s="6"/>
      <c r="Q131" s="6"/>
      <c r="R131" s="6"/>
      <c r="S131" s="26"/>
      <c r="T131" s="26"/>
      <c r="U131" s="27"/>
      <c r="V131" s="6"/>
      <c r="W131" s="6"/>
      <c r="X131" s="6"/>
      <c r="Y131" s="6"/>
      <c r="Z131" s="6"/>
      <c r="AA131" s="6"/>
      <c r="AB131" s="6"/>
      <c r="AC131" s="6"/>
      <c r="AD131" s="6"/>
    </row>
    <row r="132">
      <c r="A132" s="6"/>
      <c r="B132" s="6"/>
      <c r="C132" s="6"/>
      <c r="D132" s="6"/>
      <c r="E132" s="6"/>
      <c r="F132" s="6"/>
      <c r="G132" s="6"/>
      <c r="H132" s="25"/>
      <c r="I132" s="25"/>
      <c r="J132" s="6"/>
      <c r="K132" s="6"/>
      <c r="L132" s="6"/>
      <c r="M132" s="6"/>
      <c r="N132" s="6"/>
      <c r="O132" s="6"/>
      <c r="P132" s="6"/>
      <c r="Q132" s="6"/>
      <c r="R132" s="6"/>
      <c r="S132" s="26"/>
      <c r="T132" s="26"/>
      <c r="U132" s="27"/>
      <c r="V132" s="6"/>
      <c r="W132" s="6"/>
      <c r="X132" s="6"/>
      <c r="Y132" s="6"/>
      <c r="Z132" s="6"/>
      <c r="AA132" s="6"/>
      <c r="AB132" s="6"/>
      <c r="AC132" s="6"/>
      <c r="AD132" s="6"/>
    </row>
    <row r="133">
      <c r="A133" s="6"/>
      <c r="B133" s="6"/>
      <c r="C133" s="6"/>
      <c r="D133" s="6"/>
      <c r="E133" s="6"/>
      <c r="F133" s="6"/>
      <c r="G133" s="6"/>
      <c r="H133" s="25"/>
      <c r="I133" s="25"/>
      <c r="J133" s="6"/>
      <c r="K133" s="6"/>
      <c r="L133" s="6"/>
      <c r="M133" s="6"/>
      <c r="N133" s="6"/>
      <c r="O133" s="6"/>
      <c r="P133" s="6"/>
      <c r="Q133" s="6"/>
      <c r="R133" s="6"/>
      <c r="S133" s="26"/>
      <c r="T133" s="26"/>
      <c r="U133" s="27"/>
      <c r="V133" s="6"/>
      <c r="W133" s="6"/>
      <c r="X133" s="6"/>
      <c r="Y133" s="6"/>
      <c r="Z133" s="6"/>
      <c r="AA133" s="6"/>
      <c r="AB133" s="6"/>
      <c r="AC133" s="6"/>
      <c r="AD133" s="6"/>
    </row>
    <row r="134">
      <c r="A134" s="6"/>
      <c r="B134" s="6"/>
      <c r="C134" s="6"/>
      <c r="D134" s="6"/>
      <c r="E134" s="6"/>
      <c r="F134" s="6"/>
      <c r="G134" s="6"/>
      <c r="H134" s="25"/>
      <c r="I134" s="25"/>
      <c r="J134" s="6"/>
      <c r="K134" s="6"/>
      <c r="L134" s="6"/>
      <c r="M134" s="6"/>
      <c r="N134" s="6"/>
      <c r="O134" s="6"/>
      <c r="P134" s="6"/>
      <c r="Q134" s="6"/>
      <c r="R134" s="6"/>
      <c r="S134" s="26"/>
      <c r="T134" s="26"/>
      <c r="U134" s="27"/>
      <c r="V134" s="6"/>
      <c r="W134" s="6"/>
      <c r="X134" s="6"/>
      <c r="Y134" s="6"/>
      <c r="Z134" s="6"/>
      <c r="AA134" s="6"/>
      <c r="AB134" s="6"/>
      <c r="AC134" s="6"/>
      <c r="AD134" s="6"/>
    </row>
    <row r="135">
      <c r="A135" s="6"/>
      <c r="B135" s="6"/>
      <c r="C135" s="6"/>
      <c r="D135" s="6"/>
      <c r="E135" s="6"/>
      <c r="F135" s="6"/>
      <c r="G135" s="6"/>
      <c r="H135" s="25"/>
      <c r="I135" s="25"/>
      <c r="J135" s="6"/>
      <c r="K135" s="6"/>
      <c r="L135" s="6"/>
      <c r="M135" s="6"/>
      <c r="N135" s="6"/>
      <c r="O135" s="6"/>
      <c r="P135" s="6"/>
      <c r="Q135" s="6"/>
      <c r="R135" s="6"/>
      <c r="S135" s="26"/>
      <c r="T135" s="26"/>
      <c r="U135" s="27"/>
      <c r="V135" s="6"/>
      <c r="W135" s="6"/>
      <c r="X135" s="6"/>
      <c r="Y135" s="6"/>
      <c r="Z135" s="6"/>
      <c r="AA135" s="6"/>
      <c r="AB135" s="6"/>
      <c r="AC135" s="6"/>
      <c r="AD135" s="6"/>
    </row>
    <row r="136">
      <c r="A136" s="6"/>
      <c r="B136" s="6"/>
      <c r="C136" s="6"/>
      <c r="D136" s="6"/>
      <c r="E136" s="6"/>
      <c r="F136" s="6"/>
      <c r="G136" s="6"/>
      <c r="H136" s="25"/>
      <c r="I136" s="25"/>
      <c r="J136" s="6"/>
      <c r="K136" s="6"/>
      <c r="L136" s="6"/>
      <c r="M136" s="6"/>
      <c r="N136" s="6"/>
      <c r="O136" s="6"/>
      <c r="P136" s="6"/>
      <c r="Q136" s="6"/>
      <c r="R136" s="6"/>
      <c r="S136" s="26"/>
      <c r="T136" s="26"/>
      <c r="U136" s="27"/>
      <c r="V136" s="6"/>
      <c r="W136" s="6"/>
      <c r="X136" s="6"/>
      <c r="Y136" s="6"/>
      <c r="Z136" s="6"/>
      <c r="AA136" s="6"/>
      <c r="AB136" s="6"/>
      <c r="AC136" s="6"/>
      <c r="AD136" s="6"/>
    </row>
    <row r="137">
      <c r="A137" s="6"/>
      <c r="B137" s="6"/>
      <c r="C137" s="6"/>
      <c r="D137" s="6"/>
      <c r="E137" s="6"/>
      <c r="F137" s="6"/>
      <c r="G137" s="6"/>
      <c r="H137" s="25"/>
      <c r="I137" s="25"/>
      <c r="J137" s="6"/>
      <c r="K137" s="6"/>
      <c r="L137" s="6"/>
      <c r="M137" s="6"/>
      <c r="N137" s="6"/>
      <c r="O137" s="6"/>
      <c r="P137" s="6"/>
      <c r="Q137" s="6"/>
      <c r="R137" s="6"/>
      <c r="S137" s="26"/>
      <c r="T137" s="26"/>
      <c r="U137" s="27"/>
      <c r="V137" s="6"/>
      <c r="W137" s="6"/>
      <c r="X137" s="6"/>
      <c r="Y137" s="6"/>
      <c r="Z137" s="6"/>
      <c r="AA137" s="6"/>
      <c r="AB137" s="6"/>
      <c r="AC137" s="6"/>
      <c r="AD137" s="6"/>
    </row>
    <row r="138">
      <c r="A138" s="6"/>
      <c r="B138" s="6"/>
      <c r="C138" s="6"/>
      <c r="D138" s="6"/>
      <c r="E138" s="6"/>
      <c r="F138" s="6"/>
      <c r="G138" s="6"/>
      <c r="H138" s="25"/>
      <c r="I138" s="25"/>
      <c r="J138" s="6"/>
      <c r="K138" s="6"/>
      <c r="L138" s="6"/>
      <c r="M138" s="6"/>
      <c r="N138" s="6"/>
      <c r="O138" s="6"/>
      <c r="P138" s="6"/>
      <c r="Q138" s="6"/>
      <c r="R138" s="6"/>
      <c r="S138" s="26"/>
      <c r="T138" s="26"/>
      <c r="U138" s="27"/>
      <c r="V138" s="6"/>
      <c r="W138" s="6"/>
      <c r="X138" s="6"/>
      <c r="Y138" s="6"/>
      <c r="Z138" s="6"/>
      <c r="AA138" s="6"/>
      <c r="AB138" s="6"/>
      <c r="AC138" s="6"/>
      <c r="AD138" s="6"/>
    </row>
    <row r="139">
      <c r="A139" s="6"/>
      <c r="B139" s="6"/>
      <c r="C139" s="6"/>
      <c r="D139" s="6"/>
      <c r="E139" s="6"/>
      <c r="F139" s="6"/>
      <c r="G139" s="6"/>
      <c r="H139" s="25"/>
      <c r="I139" s="25"/>
      <c r="J139" s="6"/>
      <c r="K139" s="6"/>
      <c r="L139" s="6"/>
      <c r="M139" s="6"/>
      <c r="N139" s="6"/>
      <c r="O139" s="6"/>
      <c r="P139" s="6"/>
      <c r="Q139" s="6"/>
      <c r="R139" s="6"/>
      <c r="S139" s="26"/>
      <c r="T139" s="26"/>
      <c r="U139" s="27"/>
      <c r="V139" s="6"/>
      <c r="W139" s="6"/>
      <c r="X139" s="6"/>
      <c r="Y139" s="6"/>
      <c r="Z139" s="6"/>
      <c r="AA139" s="6"/>
      <c r="AB139" s="6"/>
      <c r="AC139" s="6"/>
      <c r="AD139" s="6"/>
    </row>
    <row r="140">
      <c r="A140" s="6"/>
      <c r="B140" s="6"/>
      <c r="C140" s="6"/>
      <c r="D140" s="6"/>
      <c r="E140" s="6"/>
      <c r="F140" s="6"/>
      <c r="G140" s="6"/>
      <c r="H140" s="25"/>
      <c r="I140" s="25"/>
      <c r="J140" s="6"/>
      <c r="K140" s="6"/>
      <c r="L140" s="6"/>
      <c r="M140" s="6"/>
      <c r="N140" s="6"/>
      <c r="O140" s="6"/>
      <c r="P140" s="6"/>
      <c r="Q140" s="6"/>
      <c r="R140" s="6"/>
      <c r="S140" s="26"/>
      <c r="T140" s="26"/>
      <c r="U140" s="27"/>
      <c r="V140" s="6"/>
      <c r="W140" s="6"/>
      <c r="X140" s="6"/>
      <c r="Y140" s="6"/>
      <c r="Z140" s="6"/>
      <c r="AA140" s="6"/>
      <c r="AB140" s="6"/>
      <c r="AC140" s="6"/>
      <c r="AD140" s="6"/>
    </row>
    <row r="141">
      <c r="A141" s="6"/>
      <c r="B141" s="6"/>
      <c r="C141" s="6"/>
      <c r="D141" s="6"/>
      <c r="E141" s="6"/>
      <c r="F141" s="6"/>
      <c r="G141" s="6"/>
      <c r="H141" s="25"/>
      <c r="I141" s="25"/>
      <c r="J141" s="6"/>
      <c r="K141" s="6"/>
      <c r="L141" s="6"/>
      <c r="M141" s="6"/>
      <c r="N141" s="6"/>
      <c r="O141" s="6"/>
      <c r="P141" s="6"/>
      <c r="Q141" s="6"/>
      <c r="R141" s="6"/>
      <c r="S141" s="26"/>
      <c r="T141" s="26"/>
      <c r="U141" s="27"/>
      <c r="V141" s="6"/>
      <c r="W141" s="6"/>
      <c r="X141" s="6"/>
      <c r="Y141" s="6"/>
      <c r="Z141" s="6"/>
      <c r="AA141" s="6"/>
      <c r="AB141" s="6"/>
      <c r="AC141" s="6"/>
      <c r="AD141" s="6"/>
    </row>
    <row r="142">
      <c r="A142" s="6"/>
      <c r="B142" s="6"/>
      <c r="C142" s="6"/>
      <c r="D142" s="6"/>
      <c r="E142" s="6"/>
      <c r="F142" s="6"/>
      <c r="G142" s="6"/>
      <c r="H142" s="25"/>
      <c r="I142" s="25"/>
      <c r="J142" s="6"/>
      <c r="K142" s="6"/>
      <c r="L142" s="6"/>
      <c r="M142" s="6"/>
      <c r="N142" s="6"/>
      <c r="O142" s="6"/>
      <c r="P142" s="6"/>
      <c r="Q142" s="6"/>
      <c r="R142" s="6"/>
      <c r="S142" s="26"/>
      <c r="T142" s="26"/>
      <c r="U142" s="27"/>
      <c r="V142" s="6"/>
      <c r="W142" s="6"/>
      <c r="X142" s="6"/>
      <c r="Y142" s="6"/>
      <c r="Z142" s="6"/>
      <c r="AA142" s="6"/>
      <c r="AB142" s="6"/>
      <c r="AC142" s="6"/>
      <c r="AD142" s="6"/>
    </row>
    <row r="143">
      <c r="A143" s="6"/>
      <c r="B143" s="6"/>
      <c r="C143" s="6"/>
      <c r="D143" s="6"/>
      <c r="E143" s="6"/>
      <c r="F143" s="6"/>
      <c r="G143" s="6"/>
      <c r="H143" s="25"/>
      <c r="I143" s="25"/>
      <c r="J143" s="6"/>
      <c r="K143" s="6"/>
      <c r="L143" s="6"/>
      <c r="M143" s="6"/>
      <c r="N143" s="6"/>
      <c r="O143" s="6"/>
      <c r="P143" s="6"/>
      <c r="Q143" s="6"/>
      <c r="R143" s="6"/>
      <c r="S143" s="26"/>
      <c r="T143" s="26"/>
      <c r="U143" s="27"/>
      <c r="V143" s="6"/>
      <c r="W143" s="6"/>
      <c r="X143" s="6"/>
      <c r="Y143" s="6"/>
      <c r="Z143" s="6"/>
      <c r="AA143" s="6"/>
      <c r="AB143" s="6"/>
      <c r="AC143" s="6"/>
      <c r="AD143" s="6"/>
    </row>
    <row r="144">
      <c r="A144" s="6"/>
      <c r="B144" s="6"/>
      <c r="C144" s="6"/>
      <c r="D144" s="6"/>
      <c r="E144" s="6"/>
      <c r="F144" s="6"/>
      <c r="G144" s="6"/>
      <c r="H144" s="25"/>
      <c r="I144" s="25"/>
      <c r="J144" s="6"/>
      <c r="K144" s="6"/>
      <c r="L144" s="6"/>
      <c r="M144" s="6"/>
      <c r="N144" s="6"/>
      <c r="O144" s="6"/>
      <c r="P144" s="6"/>
      <c r="Q144" s="6"/>
      <c r="R144" s="6"/>
      <c r="S144" s="26"/>
      <c r="T144" s="26"/>
      <c r="U144" s="27"/>
      <c r="V144" s="6"/>
      <c r="W144" s="6"/>
      <c r="X144" s="6"/>
      <c r="Y144" s="6"/>
      <c r="Z144" s="6"/>
      <c r="AA144" s="6"/>
      <c r="AB144" s="6"/>
      <c r="AC144" s="6"/>
      <c r="AD144" s="6"/>
    </row>
    <row r="145">
      <c r="A145" s="6"/>
      <c r="B145" s="6"/>
      <c r="C145" s="6"/>
      <c r="D145" s="6"/>
      <c r="E145" s="6"/>
      <c r="F145" s="6"/>
      <c r="G145" s="6"/>
      <c r="H145" s="25"/>
      <c r="I145" s="25"/>
      <c r="J145" s="6"/>
      <c r="K145" s="6"/>
      <c r="L145" s="6"/>
      <c r="M145" s="6"/>
      <c r="N145" s="6"/>
      <c r="O145" s="6"/>
      <c r="P145" s="6"/>
      <c r="Q145" s="6"/>
      <c r="R145" s="6"/>
      <c r="S145" s="26"/>
      <c r="T145" s="26"/>
      <c r="U145" s="27"/>
      <c r="V145" s="6"/>
      <c r="W145" s="6"/>
      <c r="X145" s="6"/>
      <c r="Y145" s="6"/>
      <c r="Z145" s="6"/>
      <c r="AA145" s="6"/>
      <c r="AB145" s="6"/>
      <c r="AC145" s="6"/>
      <c r="AD145" s="6"/>
    </row>
    <row r="146">
      <c r="A146" s="6"/>
      <c r="B146" s="6"/>
      <c r="C146" s="6"/>
      <c r="D146" s="6"/>
      <c r="E146" s="6"/>
      <c r="F146" s="6"/>
      <c r="G146" s="6"/>
      <c r="H146" s="25"/>
      <c r="I146" s="25"/>
      <c r="J146" s="6"/>
      <c r="K146" s="6"/>
      <c r="L146" s="6"/>
      <c r="M146" s="6"/>
      <c r="N146" s="6"/>
      <c r="O146" s="6"/>
      <c r="P146" s="6"/>
      <c r="Q146" s="6"/>
      <c r="R146" s="6"/>
      <c r="S146" s="26"/>
      <c r="T146" s="26"/>
      <c r="U146" s="27"/>
      <c r="V146" s="6"/>
      <c r="W146" s="6"/>
      <c r="X146" s="6"/>
      <c r="Y146" s="6"/>
      <c r="Z146" s="6"/>
      <c r="AA146" s="6"/>
      <c r="AB146" s="6"/>
      <c r="AC146" s="6"/>
      <c r="AD146" s="6"/>
    </row>
    <row r="147">
      <c r="A147" s="6"/>
      <c r="B147" s="6"/>
      <c r="C147" s="6"/>
      <c r="D147" s="6"/>
      <c r="E147" s="6"/>
      <c r="F147" s="6"/>
      <c r="G147" s="6"/>
      <c r="H147" s="25"/>
      <c r="I147" s="25"/>
      <c r="J147" s="6"/>
      <c r="K147" s="6"/>
      <c r="L147" s="6"/>
      <c r="M147" s="6"/>
      <c r="N147" s="6"/>
      <c r="O147" s="6"/>
      <c r="P147" s="6"/>
      <c r="Q147" s="6"/>
      <c r="R147" s="6"/>
      <c r="S147" s="26"/>
      <c r="T147" s="26"/>
      <c r="U147" s="27"/>
      <c r="V147" s="6"/>
      <c r="W147" s="6"/>
      <c r="X147" s="6"/>
      <c r="Y147" s="6"/>
      <c r="Z147" s="6"/>
      <c r="AA147" s="6"/>
      <c r="AB147" s="6"/>
      <c r="AC147" s="6"/>
      <c r="AD147" s="6"/>
    </row>
    <row r="148">
      <c r="A148" s="6"/>
      <c r="B148" s="6"/>
      <c r="C148" s="6"/>
      <c r="D148" s="6"/>
      <c r="E148" s="6"/>
      <c r="F148" s="6"/>
      <c r="G148" s="6"/>
      <c r="H148" s="25"/>
      <c r="I148" s="25"/>
      <c r="J148" s="6"/>
      <c r="K148" s="6"/>
      <c r="L148" s="6"/>
      <c r="M148" s="6"/>
      <c r="N148" s="6"/>
      <c r="O148" s="6"/>
      <c r="P148" s="6"/>
      <c r="Q148" s="6"/>
      <c r="R148" s="6"/>
      <c r="S148" s="26"/>
      <c r="T148" s="26"/>
      <c r="U148" s="27"/>
      <c r="V148" s="6"/>
      <c r="W148" s="6"/>
      <c r="X148" s="6"/>
      <c r="Y148" s="6"/>
      <c r="Z148" s="6"/>
      <c r="AA148" s="6"/>
      <c r="AB148" s="6"/>
      <c r="AC148" s="6"/>
      <c r="AD148" s="6"/>
    </row>
    <row r="149">
      <c r="A149" s="6"/>
      <c r="B149" s="6"/>
      <c r="C149" s="6"/>
      <c r="D149" s="6"/>
      <c r="E149" s="6"/>
      <c r="F149" s="6"/>
      <c r="G149" s="6"/>
      <c r="H149" s="25"/>
      <c r="I149" s="25"/>
      <c r="J149" s="6"/>
      <c r="K149" s="6"/>
      <c r="L149" s="6"/>
      <c r="M149" s="6"/>
      <c r="N149" s="6"/>
      <c r="O149" s="6"/>
      <c r="P149" s="6"/>
      <c r="Q149" s="6"/>
      <c r="R149" s="6"/>
      <c r="S149" s="26"/>
      <c r="T149" s="26"/>
      <c r="U149" s="27"/>
      <c r="V149" s="6"/>
      <c r="W149" s="6"/>
      <c r="X149" s="6"/>
      <c r="Y149" s="6"/>
      <c r="Z149" s="6"/>
      <c r="AA149" s="6"/>
      <c r="AB149" s="6"/>
      <c r="AC149" s="6"/>
      <c r="AD149" s="6"/>
    </row>
    <row r="150">
      <c r="A150" s="6"/>
      <c r="B150" s="6"/>
      <c r="C150" s="6"/>
      <c r="D150" s="6"/>
      <c r="E150" s="6"/>
      <c r="F150" s="6"/>
      <c r="G150" s="6"/>
      <c r="H150" s="25"/>
      <c r="I150" s="25"/>
      <c r="J150" s="6"/>
      <c r="K150" s="6"/>
      <c r="L150" s="6"/>
      <c r="M150" s="6"/>
      <c r="N150" s="6"/>
      <c r="O150" s="6"/>
      <c r="P150" s="6"/>
      <c r="Q150" s="6"/>
      <c r="R150" s="6"/>
      <c r="S150" s="26"/>
      <c r="T150" s="26"/>
      <c r="U150" s="27"/>
      <c r="V150" s="6"/>
      <c r="W150" s="6"/>
      <c r="X150" s="6"/>
      <c r="Y150" s="6"/>
      <c r="Z150" s="6"/>
      <c r="AA150" s="6"/>
      <c r="AB150" s="6"/>
      <c r="AC150" s="6"/>
      <c r="AD150" s="6"/>
    </row>
    <row r="151">
      <c r="A151" s="6"/>
      <c r="B151" s="6"/>
      <c r="C151" s="6"/>
      <c r="D151" s="6"/>
      <c r="E151" s="6"/>
      <c r="F151" s="6"/>
      <c r="G151" s="6"/>
      <c r="H151" s="25"/>
      <c r="I151" s="25"/>
      <c r="J151" s="6"/>
      <c r="K151" s="6"/>
      <c r="L151" s="6"/>
      <c r="M151" s="6"/>
      <c r="N151" s="6"/>
      <c r="O151" s="6"/>
      <c r="P151" s="6"/>
      <c r="Q151" s="6"/>
      <c r="R151" s="6"/>
      <c r="S151" s="26"/>
      <c r="T151" s="26"/>
      <c r="U151" s="27"/>
      <c r="V151" s="6"/>
      <c r="W151" s="6"/>
      <c r="X151" s="6"/>
      <c r="Y151" s="6"/>
      <c r="Z151" s="6"/>
      <c r="AA151" s="6"/>
      <c r="AB151" s="6"/>
      <c r="AC151" s="6"/>
      <c r="AD151" s="6"/>
    </row>
    <row r="152">
      <c r="A152" s="6"/>
      <c r="B152" s="6"/>
      <c r="C152" s="6"/>
      <c r="D152" s="6"/>
      <c r="E152" s="6"/>
      <c r="F152" s="6"/>
      <c r="G152" s="6"/>
      <c r="H152" s="25"/>
      <c r="I152" s="25"/>
      <c r="J152" s="6"/>
      <c r="K152" s="6"/>
      <c r="L152" s="6"/>
      <c r="M152" s="6"/>
      <c r="N152" s="6"/>
      <c r="O152" s="6"/>
      <c r="P152" s="6"/>
      <c r="Q152" s="6"/>
      <c r="R152" s="6"/>
      <c r="S152" s="26"/>
      <c r="T152" s="26"/>
      <c r="U152" s="27"/>
      <c r="V152" s="6"/>
      <c r="W152" s="6"/>
      <c r="X152" s="6"/>
      <c r="Y152" s="6"/>
      <c r="Z152" s="6"/>
      <c r="AA152" s="6"/>
      <c r="AB152" s="6"/>
      <c r="AC152" s="6"/>
      <c r="AD152" s="6"/>
    </row>
    <row r="153">
      <c r="A153" s="6"/>
      <c r="B153" s="6"/>
      <c r="C153" s="6"/>
      <c r="D153" s="6"/>
      <c r="E153" s="6"/>
      <c r="F153" s="6"/>
      <c r="G153" s="6"/>
      <c r="H153" s="25"/>
      <c r="I153" s="25"/>
      <c r="J153" s="6"/>
      <c r="K153" s="6"/>
      <c r="L153" s="6"/>
      <c r="M153" s="6"/>
      <c r="N153" s="6"/>
      <c r="O153" s="6"/>
      <c r="P153" s="6"/>
      <c r="Q153" s="6"/>
      <c r="R153" s="6"/>
      <c r="S153" s="26"/>
      <c r="T153" s="26"/>
      <c r="U153" s="27"/>
      <c r="V153" s="6"/>
      <c r="W153" s="6"/>
      <c r="X153" s="6"/>
      <c r="Y153" s="6"/>
      <c r="Z153" s="6"/>
      <c r="AA153" s="6"/>
      <c r="AB153" s="6"/>
      <c r="AC153" s="6"/>
      <c r="AD153" s="6"/>
    </row>
    <row r="154">
      <c r="A154" s="6"/>
      <c r="B154" s="6"/>
      <c r="C154" s="6"/>
      <c r="D154" s="6"/>
      <c r="E154" s="6"/>
      <c r="F154" s="6"/>
      <c r="G154" s="6"/>
      <c r="H154" s="25"/>
      <c r="I154" s="25"/>
      <c r="J154" s="6"/>
      <c r="K154" s="6"/>
      <c r="L154" s="6"/>
      <c r="M154" s="6"/>
      <c r="N154" s="6"/>
      <c r="O154" s="6"/>
      <c r="P154" s="6"/>
      <c r="Q154" s="6"/>
      <c r="R154" s="6"/>
      <c r="S154" s="26"/>
      <c r="T154" s="26"/>
      <c r="U154" s="27"/>
      <c r="V154" s="6"/>
      <c r="W154" s="6"/>
      <c r="X154" s="6"/>
      <c r="Y154" s="6"/>
      <c r="Z154" s="6"/>
      <c r="AA154" s="6"/>
      <c r="AB154" s="6"/>
      <c r="AC154" s="6"/>
      <c r="AD154" s="6"/>
    </row>
    <row r="155">
      <c r="A155" s="6"/>
      <c r="B155" s="6"/>
      <c r="C155" s="6"/>
      <c r="D155" s="6"/>
      <c r="E155" s="6"/>
      <c r="F155" s="6"/>
      <c r="G155" s="6"/>
      <c r="H155" s="25"/>
      <c r="I155" s="25"/>
      <c r="J155" s="6"/>
      <c r="K155" s="6"/>
      <c r="L155" s="6"/>
      <c r="M155" s="6"/>
      <c r="N155" s="6"/>
      <c r="O155" s="6"/>
      <c r="P155" s="6"/>
      <c r="Q155" s="6"/>
      <c r="R155" s="6"/>
      <c r="S155" s="26"/>
      <c r="T155" s="26"/>
      <c r="U155" s="27"/>
      <c r="V155" s="6"/>
      <c r="W155" s="6"/>
      <c r="X155" s="6"/>
      <c r="Y155" s="6"/>
      <c r="Z155" s="6"/>
      <c r="AA155" s="6"/>
      <c r="AB155" s="6"/>
      <c r="AC155" s="6"/>
      <c r="AD155" s="6"/>
    </row>
    <row r="156">
      <c r="A156" s="6"/>
      <c r="B156" s="6"/>
      <c r="C156" s="6"/>
      <c r="D156" s="6"/>
      <c r="E156" s="6"/>
      <c r="F156" s="6"/>
      <c r="G156" s="6"/>
      <c r="H156" s="25"/>
      <c r="I156" s="25"/>
      <c r="J156" s="6"/>
      <c r="K156" s="6"/>
      <c r="L156" s="6"/>
      <c r="M156" s="6"/>
      <c r="N156" s="6"/>
      <c r="O156" s="6"/>
      <c r="P156" s="6"/>
      <c r="Q156" s="6"/>
      <c r="R156" s="6"/>
      <c r="S156" s="26"/>
      <c r="T156" s="26"/>
      <c r="U156" s="27"/>
      <c r="V156" s="6"/>
      <c r="W156" s="6"/>
      <c r="X156" s="6"/>
      <c r="Y156" s="6"/>
      <c r="Z156" s="6"/>
      <c r="AA156" s="6"/>
      <c r="AB156" s="6"/>
      <c r="AC156" s="6"/>
      <c r="AD156" s="6"/>
    </row>
    <row r="157">
      <c r="A157" s="6"/>
      <c r="B157" s="6"/>
      <c r="C157" s="6"/>
      <c r="D157" s="6"/>
      <c r="E157" s="6"/>
      <c r="F157" s="6"/>
      <c r="G157" s="6"/>
      <c r="H157" s="25"/>
      <c r="I157" s="25"/>
      <c r="J157" s="6"/>
      <c r="K157" s="6"/>
      <c r="L157" s="6"/>
      <c r="M157" s="6"/>
      <c r="N157" s="6"/>
      <c r="O157" s="6"/>
      <c r="P157" s="6"/>
      <c r="Q157" s="6"/>
      <c r="R157" s="6"/>
      <c r="S157" s="26"/>
      <c r="T157" s="26"/>
      <c r="U157" s="27"/>
      <c r="V157" s="6"/>
      <c r="W157" s="6"/>
      <c r="X157" s="6"/>
      <c r="Y157" s="6"/>
      <c r="Z157" s="6"/>
      <c r="AA157" s="6"/>
      <c r="AB157" s="6"/>
      <c r="AC157" s="6"/>
      <c r="AD157" s="6"/>
    </row>
    <row r="158">
      <c r="A158" s="6"/>
      <c r="B158" s="6"/>
      <c r="C158" s="6"/>
      <c r="D158" s="6"/>
      <c r="E158" s="6"/>
      <c r="F158" s="6"/>
      <c r="G158" s="6"/>
      <c r="H158" s="25"/>
      <c r="I158" s="25"/>
      <c r="J158" s="6"/>
      <c r="K158" s="6"/>
      <c r="L158" s="6"/>
      <c r="M158" s="6"/>
      <c r="N158" s="6"/>
      <c r="O158" s="6"/>
      <c r="P158" s="6"/>
      <c r="Q158" s="6"/>
      <c r="R158" s="6"/>
      <c r="S158" s="26"/>
      <c r="T158" s="26"/>
      <c r="U158" s="27"/>
      <c r="V158" s="6"/>
      <c r="W158" s="6"/>
      <c r="X158" s="6"/>
      <c r="Y158" s="6"/>
      <c r="Z158" s="6"/>
      <c r="AA158" s="6"/>
      <c r="AB158" s="6"/>
      <c r="AC158" s="6"/>
      <c r="AD158" s="6"/>
    </row>
    <row r="159">
      <c r="A159" s="6"/>
      <c r="B159" s="6"/>
      <c r="C159" s="6"/>
      <c r="D159" s="6"/>
      <c r="E159" s="6"/>
      <c r="F159" s="6"/>
      <c r="G159" s="6"/>
      <c r="H159" s="25"/>
      <c r="I159" s="25"/>
      <c r="J159" s="6"/>
      <c r="K159" s="6"/>
      <c r="L159" s="6"/>
      <c r="M159" s="6"/>
      <c r="N159" s="6"/>
      <c r="O159" s="6"/>
      <c r="P159" s="6"/>
      <c r="Q159" s="6"/>
      <c r="R159" s="6"/>
      <c r="S159" s="26"/>
      <c r="T159" s="26"/>
      <c r="U159" s="27"/>
      <c r="V159" s="6"/>
      <c r="W159" s="6"/>
      <c r="X159" s="6"/>
      <c r="Y159" s="6"/>
      <c r="Z159" s="6"/>
      <c r="AA159" s="6"/>
      <c r="AB159" s="6"/>
      <c r="AC159" s="6"/>
      <c r="AD159" s="6"/>
    </row>
    <row r="160">
      <c r="A160" s="6"/>
      <c r="B160" s="6"/>
      <c r="C160" s="6"/>
      <c r="D160" s="6"/>
      <c r="E160" s="6"/>
      <c r="F160" s="6"/>
      <c r="G160" s="6"/>
      <c r="H160" s="25"/>
      <c r="I160" s="25"/>
      <c r="J160" s="6"/>
      <c r="K160" s="6"/>
      <c r="L160" s="6"/>
      <c r="M160" s="6"/>
      <c r="N160" s="6"/>
      <c r="O160" s="6"/>
      <c r="P160" s="6"/>
      <c r="Q160" s="6"/>
      <c r="R160" s="6"/>
      <c r="S160" s="26"/>
      <c r="T160" s="26"/>
      <c r="U160" s="27"/>
      <c r="V160" s="6"/>
      <c r="W160" s="6"/>
      <c r="X160" s="6"/>
      <c r="Y160" s="6"/>
      <c r="Z160" s="6"/>
      <c r="AA160" s="6"/>
      <c r="AB160" s="6"/>
      <c r="AC160" s="6"/>
      <c r="AD160" s="6"/>
    </row>
    <row r="161">
      <c r="A161" s="6"/>
      <c r="B161" s="6"/>
      <c r="C161" s="6"/>
      <c r="D161" s="6"/>
      <c r="E161" s="6"/>
      <c r="F161" s="6"/>
      <c r="G161" s="6"/>
      <c r="H161" s="25"/>
      <c r="I161" s="25"/>
      <c r="J161" s="6"/>
      <c r="K161" s="6"/>
      <c r="L161" s="6"/>
      <c r="M161" s="6"/>
      <c r="N161" s="6"/>
      <c r="O161" s="6"/>
      <c r="P161" s="6"/>
      <c r="Q161" s="6"/>
      <c r="R161" s="6"/>
      <c r="S161" s="26"/>
      <c r="T161" s="26"/>
      <c r="U161" s="27"/>
      <c r="V161" s="6"/>
      <c r="W161" s="6"/>
      <c r="X161" s="6"/>
      <c r="Y161" s="6"/>
      <c r="Z161" s="6"/>
      <c r="AA161" s="6"/>
      <c r="AB161" s="6"/>
      <c r="AC161" s="6"/>
      <c r="AD161" s="6"/>
    </row>
    <row r="162">
      <c r="A162" s="6"/>
      <c r="B162" s="6"/>
      <c r="C162" s="6"/>
      <c r="D162" s="6"/>
      <c r="E162" s="6"/>
      <c r="F162" s="6"/>
      <c r="G162" s="6"/>
      <c r="H162" s="25"/>
      <c r="I162" s="25"/>
      <c r="J162" s="6"/>
      <c r="K162" s="6"/>
      <c r="L162" s="6"/>
      <c r="M162" s="6"/>
      <c r="N162" s="6"/>
      <c r="O162" s="6"/>
      <c r="P162" s="6"/>
      <c r="Q162" s="6"/>
      <c r="R162" s="6"/>
      <c r="S162" s="26"/>
      <c r="T162" s="26"/>
      <c r="U162" s="27"/>
      <c r="V162" s="6"/>
      <c r="W162" s="6"/>
      <c r="X162" s="6"/>
      <c r="Y162" s="6"/>
      <c r="Z162" s="6"/>
      <c r="AA162" s="6"/>
      <c r="AB162" s="6"/>
      <c r="AC162" s="6"/>
      <c r="AD162" s="6"/>
    </row>
    <row r="163">
      <c r="A163" s="6"/>
      <c r="B163" s="6"/>
      <c r="C163" s="6"/>
      <c r="D163" s="6"/>
      <c r="E163" s="6"/>
      <c r="F163" s="6"/>
      <c r="G163" s="6"/>
      <c r="H163" s="25"/>
      <c r="I163" s="25"/>
      <c r="J163" s="6"/>
      <c r="K163" s="6"/>
      <c r="L163" s="6"/>
      <c r="M163" s="6"/>
      <c r="N163" s="6"/>
      <c r="O163" s="6"/>
      <c r="P163" s="6"/>
      <c r="Q163" s="6"/>
      <c r="R163" s="6"/>
      <c r="S163" s="26"/>
      <c r="T163" s="26"/>
      <c r="U163" s="27"/>
      <c r="V163" s="6"/>
      <c r="W163" s="6"/>
      <c r="X163" s="6"/>
      <c r="Y163" s="6"/>
      <c r="Z163" s="6"/>
      <c r="AA163" s="6"/>
      <c r="AB163" s="6"/>
      <c r="AC163" s="6"/>
      <c r="AD163" s="6"/>
    </row>
    <row r="164">
      <c r="A164" s="6"/>
      <c r="B164" s="6"/>
      <c r="C164" s="6"/>
      <c r="D164" s="6"/>
      <c r="E164" s="6"/>
      <c r="F164" s="6"/>
      <c r="G164" s="6"/>
      <c r="H164" s="25"/>
      <c r="I164" s="25"/>
      <c r="J164" s="6"/>
      <c r="K164" s="6"/>
      <c r="L164" s="6"/>
      <c r="M164" s="6"/>
      <c r="N164" s="6"/>
      <c r="O164" s="6"/>
      <c r="P164" s="6"/>
      <c r="Q164" s="6"/>
      <c r="R164" s="6"/>
      <c r="S164" s="26"/>
      <c r="T164" s="26"/>
      <c r="U164" s="27"/>
      <c r="V164" s="6"/>
      <c r="W164" s="6"/>
      <c r="X164" s="6"/>
      <c r="Y164" s="6"/>
      <c r="Z164" s="6"/>
      <c r="AA164" s="6"/>
      <c r="AB164" s="6"/>
      <c r="AC164" s="6"/>
      <c r="AD164" s="6"/>
    </row>
    <row r="165">
      <c r="A165" s="6"/>
      <c r="B165" s="6"/>
      <c r="C165" s="6"/>
      <c r="D165" s="6"/>
      <c r="E165" s="6"/>
      <c r="F165" s="6"/>
      <c r="G165" s="6"/>
      <c r="H165" s="25"/>
      <c r="I165" s="25"/>
      <c r="J165" s="6"/>
      <c r="K165" s="6"/>
      <c r="L165" s="6"/>
      <c r="M165" s="6"/>
      <c r="N165" s="6"/>
      <c r="O165" s="6"/>
      <c r="P165" s="6"/>
      <c r="Q165" s="6"/>
      <c r="R165" s="6"/>
      <c r="S165" s="26"/>
      <c r="T165" s="26"/>
      <c r="U165" s="27"/>
      <c r="V165" s="6"/>
      <c r="W165" s="6"/>
      <c r="X165" s="6"/>
      <c r="Y165" s="6"/>
      <c r="Z165" s="6"/>
      <c r="AA165" s="6"/>
      <c r="AB165" s="6"/>
      <c r="AC165" s="6"/>
      <c r="AD165" s="6"/>
    </row>
    <row r="166">
      <c r="A166" s="6"/>
      <c r="B166" s="6"/>
      <c r="C166" s="6"/>
      <c r="D166" s="6"/>
      <c r="E166" s="6"/>
      <c r="F166" s="6"/>
      <c r="G166" s="6"/>
      <c r="H166" s="25"/>
      <c r="I166" s="25"/>
      <c r="J166" s="6"/>
      <c r="K166" s="6"/>
      <c r="L166" s="6"/>
      <c r="M166" s="6"/>
      <c r="N166" s="6"/>
      <c r="O166" s="6"/>
      <c r="P166" s="6"/>
      <c r="Q166" s="6"/>
      <c r="R166" s="6"/>
      <c r="S166" s="26"/>
      <c r="T166" s="26"/>
      <c r="U166" s="27"/>
      <c r="V166" s="6"/>
      <c r="W166" s="6"/>
      <c r="X166" s="6"/>
      <c r="Y166" s="6"/>
      <c r="Z166" s="6"/>
      <c r="AA166" s="6"/>
      <c r="AB166" s="6"/>
      <c r="AC166" s="6"/>
      <c r="AD166" s="6"/>
    </row>
    <row r="167">
      <c r="A167" s="6"/>
      <c r="B167" s="6"/>
      <c r="C167" s="6"/>
      <c r="D167" s="6"/>
      <c r="E167" s="6"/>
      <c r="F167" s="6"/>
      <c r="G167" s="6"/>
      <c r="H167" s="25"/>
      <c r="I167" s="25"/>
      <c r="J167" s="6"/>
      <c r="K167" s="6"/>
      <c r="L167" s="6"/>
      <c r="M167" s="6"/>
      <c r="N167" s="6"/>
      <c r="O167" s="6"/>
      <c r="P167" s="6"/>
      <c r="Q167" s="6"/>
      <c r="R167" s="6"/>
      <c r="S167" s="26"/>
      <c r="T167" s="26"/>
      <c r="U167" s="27"/>
      <c r="V167" s="6"/>
      <c r="W167" s="6"/>
      <c r="X167" s="6"/>
      <c r="Y167" s="6"/>
      <c r="Z167" s="6"/>
      <c r="AA167" s="6"/>
      <c r="AB167" s="6"/>
      <c r="AC167" s="6"/>
      <c r="AD167" s="6"/>
    </row>
    <row r="168">
      <c r="A168" s="6"/>
      <c r="B168" s="6"/>
      <c r="C168" s="6"/>
      <c r="D168" s="6"/>
      <c r="E168" s="6"/>
      <c r="F168" s="6"/>
      <c r="G168" s="6"/>
      <c r="H168" s="25"/>
      <c r="I168" s="25"/>
      <c r="J168" s="6"/>
      <c r="K168" s="6"/>
      <c r="L168" s="6"/>
      <c r="M168" s="6"/>
      <c r="N168" s="6"/>
      <c r="O168" s="6"/>
      <c r="P168" s="6"/>
      <c r="Q168" s="6"/>
      <c r="R168" s="6"/>
      <c r="S168" s="26"/>
      <c r="T168" s="26"/>
      <c r="U168" s="27"/>
      <c r="V168" s="6"/>
      <c r="W168" s="6"/>
      <c r="X168" s="6"/>
      <c r="Y168" s="6"/>
      <c r="Z168" s="6"/>
      <c r="AA168" s="6"/>
      <c r="AB168" s="6"/>
      <c r="AC168" s="6"/>
      <c r="AD168" s="6"/>
    </row>
    <row r="169">
      <c r="A169" s="6"/>
      <c r="B169" s="6"/>
      <c r="C169" s="6"/>
      <c r="D169" s="6"/>
      <c r="E169" s="6"/>
      <c r="F169" s="6"/>
      <c r="G169" s="6"/>
      <c r="H169" s="25"/>
      <c r="I169" s="25"/>
      <c r="J169" s="6"/>
      <c r="K169" s="6"/>
      <c r="L169" s="6"/>
      <c r="M169" s="6"/>
      <c r="N169" s="6"/>
      <c r="O169" s="6"/>
      <c r="P169" s="6"/>
      <c r="Q169" s="6"/>
      <c r="R169" s="6"/>
      <c r="S169" s="26"/>
      <c r="T169" s="26"/>
      <c r="U169" s="27"/>
      <c r="V169" s="6"/>
      <c r="W169" s="6"/>
      <c r="X169" s="6"/>
      <c r="Y169" s="6"/>
      <c r="Z169" s="6"/>
      <c r="AA169" s="6"/>
      <c r="AB169" s="6"/>
      <c r="AC169" s="6"/>
      <c r="AD169" s="6"/>
    </row>
    <row r="170">
      <c r="A170" s="6"/>
      <c r="B170" s="6"/>
      <c r="C170" s="6"/>
      <c r="D170" s="6"/>
      <c r="E170" s="6"/>
      <c r="F170" s="6"/>
      <c r="G170" s="6"/>
      <c r="H170" s="25"/>
      <c r="I170" s="25"/>
      <c r="J170" s="6"/>
      <c r="K170" s="6"/>
      <c r="L170" s="6"/>
      <c r="M170" s="6"/>
      <c r="N170" s="6"/>
      <c r="O170" s="6"/>
      <c r="P170" s="6"/>
      <c r="Q170" s="6"/>
      <c r="R170" s="6"/>
      <c r="S170" s="26"/>
      <c r="T170" s="26"/>
      <c r="U170" s="27"/>
      <c r="V170" s="6"/>
      <c r="W170" s="6"/>
      <c r="X170" s="6"/>
      <c r="Y170" s="6"/>
      <c r="Z170" s="6"/>
      <c r="AA170" s="6"/>
      <c r="AB170" s="6"/>
      <c r="AC170" s="6"/>
      <c r="AD170" s="6"/>
    </row>
    <row r="171">
      <c r="A171" s="6"/>
      <c r="B171" s="6"/>
      <c r="C171" s="6"/>
      <c r="D171" s="6"/>
      <c r="E171" s="6"/>
      <c r="F171" s="6"/>
      <c r="G171" s="6"/>
      <c r="H171" s="25"/>
      <c r="I171" s="25"/>
      <c r="J171" s="6"/>
      <c r="K171" s="6"/>
      <c r="L171" s="6"/>
      <c r="M171" s="6"/>
      <c r="N171" s="6"/>
      <c r="O171" s="6"/>
      <c r="P171" s="6"/>
      <c r="Q171" s="6"/>
      <c r="R171" s="6"/>
      <c r="S171" s="26"/>
      <c r="T171" s="26"/>
      <c r="U171" s="27"/>
      <c r="V171" s="6"/>
      <c r="W171" s="6"/>
      <c r="X171" s="6"/>
      <c r="Y171" s="6"/>
      <c r="Z171" s="6"/>
      <c r="AA171" s="6"/>
      <c r="AB171" s="6"/>
      <c r="AC171" s="6"/>
      <c r="AD171" s="6"/>
    </row>
    <row r="172">
      <c r="A172" s="6"/>
      <c r="B172" s="6"/>
      <c r="C172" s="6"/>
      <c r="D172" s="6"/>
      <c r="E172" s="6"/>
      <c r="F172" s="6"/>
      <c r="G172" s="6"/>
      <c r="H172" s="25"/>
      <c r="I172" s="25"/>
      <c r="J172" s="6"/>
      <c r="K172" s="6"/>
      <c r="L172" s="6"/>
      <c r="M172" s="6"/>
      <c r="N172" s="6"/>
      <c r="O172" s="6"/>
      <c r="P172" s="6"/>
      <c r="Q172" s="6"/>
      <c r="R172" s="6"/>
      <c r="S172" s="26"/>
      <c r="T172" s="26"/>
      <c r="U172" s="27"/>
      <c r="V172" s="6"/>
      <c r="W172" s="6"/>
      <c r="X172" s="6"/>
      <c r="Y172" s="6"/>
      <c r="Z172" s="6"/>
      <c r="AA172" s="6"/>
      <c r="AB172" s="6"/>
      <c r="AC172" s="6"/>
      <c r="AD172" s="6"/>
    </row>
    <row r="173">
      <c r="A173" s="6"/>
      <c r="B173" s="6"/>
      <c r="C173" s="6"/>
      <c r="D173" s="6"/>
      <c r="E173" s="6"/>
      <c r="F173" s="6"/>
      <c r="G173" s="6"/>
      <c r="H173" s="25"/>
      <c r="I173" s="25"/>
      <c r="J173" s="6"/>
      <c r="K173" s="6"/>
      <c r="L173" s="6"/>
      <c r="M173" s="6"/>
      <c r="N173" s="6"/>
      <c r="O173" s="6"/>
      <c r="P173" s="6"/>
      <c r="Q173" s="6"/>
      <c r="R173" s="6"/>
      <c r="S173" s="26"/>
      <c r="T173" s="26"/>
      <c r="U173" s="27"/>
      <c r="V173" s="6"/>
      <c r="W173" s="6"/>
      <c r="X173" s="6"/>
      <c r="Y173" s="6"/>
      <c r="Z173" s="6"/>
      <c r="AA173" s="6"/>
      <c r="AB173" s="6"/>
      <c r="AC173" s="6"/>
      <c r="AD173" s="6"/>
    </row>
    <row r="174">
      <c r="A174" s="6"/>
      <c r="B174" s="6"/>
      <c r="C174" s="6"/>
      <c r="D174" s="6"/>
      <c r="E174" s="6"/>
      <c r="F174" s="6"/>
      <c r="G174" s="6"/>
      <c r="H174" s="25"/>
      <c r="I174" s="25"/>
      <c r="J174" s="6"/>
      <c r="K174" s="6"/>
      <c r="L174" s="6"/>
      <c r="M174" s="6"/>
      <c r="N174" s="6"/>
      <c r="O174" s="6"/>
      <c r="P174" s="6"/>
      <c r="Q174" s="6"/>
      <c r="R174" s="6"/>
      <c r="S174" s="26"/>
      <c r="T174" s="26"/>
      <c r="U174" s="27"/>
      <c r="V174" s="6"/>
      <c r="W174" s="6"/>
      <c r="X174" s="6"/>
      <c r="Y174" s="6"/>
      <c r="Z174" s="6"/>
      <c r="AA174" s="6"/>
      <c r="AB174" s="6"/>
      <c r="AC174" s="6"/>
      <c r="AD174" s="6"/>
    </row>
    <row r="175">
      <c r="A175" s="6"/>
      <c r="B175" s="6"/>
      <c r="C175" s="6"/>
      <c r="D175" s="6"/>
      <c r="E175" s="6"/>
      <c r="F175" s="6"/>
      <c r="G175" s="6"/>
      <c r="H175" s="25"/>
      <c r="I175" s="25"/>
      <c r="J175" s="6"/>
      <c r="K175" s="6"/>
      <c r="L175" s="6"/>
      <c r="M175" s="6"/>
      <c r="N175" s="6"/>
      <c r="O175" s="6"/>
      <c r="P175" s="6"/>
      <c r="Q175" s="6"/>
      <c r="R175" s="6"/>
      <c r="S175" s="26"/>
      <c r="T175" s="26"/>
      <c r="U175" s="27"/>
      <c r="V175" s="6"/>
      <c r="W175" s="6"/>
      <c r="X175" s="6"/>
      <c r="Y175" s="6"/>
      <c r="Z175" s="6"/>
      <c r="AA175" s="6"/>
      <c r="AB175" s="6"/>
      <c r="AC175" s="6"/>
      <c r="AD175" s="6"/>
    </row>
    <row r="176">
      <c r="A176" s="6"/>
      <c r="B176" s="6"/>
      <c r="C176" s="6"/>
      <c r="D176" s="6"/>
      <c r="E176" s="6"/>
      <c r="F176" s="6"/>
      <c r="G176" s="6"/>
      <c r="H176" s="25"/>
      <c r="I176" s="25"/>
      <c r="J176" s="6"/>
      <c r="K176" s="6"/>
      <c r="L176" s="6"/>
      <c r="M176" s="6"/>
      <c r="N176" s="6"/>
      <c r="O176" s="6"/>
      <c r="P176" s="6"/>
      <c r="Q176" s="6"/>
      <c r="R176" s="6"/>
      <c r="S176" s="26"/>
      <c r="T176" s="26"/>
      <c r="U176" s="27"/>
      <c r="V176" s="6"/>
      <c r="W176" s="6"/>
      <c r="X176" s="6"/>
      <c r="Y176" s="6"/>
      <c r="Z176" s="6"/>
      <c r="AA176" s="6"/>
      <c r="AB176" s="6"/>
      <c r="AC176" s="6"/>
      <c r="AD176" s="6"/>
    </row>
    <row r="177">
      <c r="A177" s="6"/>
      <c r="B177" s="6"/>
      <c r="C177" s="6"/>
      <c r="D177" s="6"/>
      <c r="E177" s="6"/>
      <c r="F177" s="6"/>
      <c r="G177" s="6"/>
      <c r="H177" s="25"/>
      <c r="I177" s="25"/>
      <c r="J177" s="6"/>
      <c r="K177" s="6"/>
      <c r="L177" s="6"/>
      <c r="M177" s="6"/>
      <c r="N177" s="6"/>
      <c r="O177" s="6"/>
      <c r="P177" s="6"/>
      <c r="Q177" s="6"/>
      <c r="R177" s="6"/>
      <c r="S177" s="26"/>
      <c r="T177" s="26"/>
      <c r="U177" s="27"/>
      <c r="V177" s="6"/>
      <c r="W177" s="6"/>
      <c r="X177" s="6"/>
      <c r="Y177" s="6"/>
      <c r="Z177" s="6"/>
      <c r="AA177" s="6"/>
      <c r="AB177" s="6"/>
      <c r="AC177" s="6"/>
      <c r="AD177" s="6"/>
    </row>
    <row r="178">
      <c r="A178" s="6"/>
      <c r="B178" s="6"/>
      <c r="C178" s="6"/>
      <c r="D178" s="6"/>
      <c r="E178" s="6"/>
      <c r="F178" s="6"/>
      <c r="G178" s="6"/>
      <c r="H178" s="25"/>
      <c r="I178" s="25"/>
      <c r="J178" s="6"/>
      <c r="K178" s="6"/>
      <c r="L178" s="6"/>
      <c r="M178" s="6"/>
      <c r="N178" s="6"/>
      <c r="O178" s="6"/>
      <c r="P178" s="6"/>
      <c r="Q178" s="6"/>
      <c r="R178" s="6"/>
      <c r="S178" s="26"/>
      <c r="T178" s="26"/>
      <c r="U178" s="27"/>
      <c r="V178" s="6"/>
      <c r="W178" s="6"/>
      <c r="X178" s="6"/>
      <c r="Y178" s="6"/>
      <c r="Z178" s="6"/>
      <c r="AA178" s="6"/>
      <c r="AB178" s="6"/>
      <c r="AC178" s="6"/>
      <c r="AD178" s="6"/>
    </row>
    <row r="179">
      <c r="A179" s="6"/>
      <c r="B179" s="6"/>
      <c r="C179" s="6"/>
      <c r="D179" s="6"/>
      <c r="E179" s="6"/>
      <c r="F179" s="6"/>
      <c r="G179" s="6"/>
      <c r="H179" s="25"/>
      <c r="I179" s="25"/>
      <c r="J179" s="6"/>
      <c r="K179" s="6"/>
      <c r="L179" s="6"/>
      <c r="M179" s="6"/>
      <c r="N179" s="6"/>
      <c r="O179" s="6"/>
      <c r="P179" s="6"/>
      <c r="Q179" s="6"/>
      <c r="R179" s="6"/>
      <c r="S179" s="26"/>
      <c r="T179" s="26"/>
      <c r="U179" s="27"/>
      <c r="V179" s="6"/>
      <c r="W179" s="6"/>
      <c r="X179" s="6"/>
      <c r="Y179" s="6"/>
      <c r="Z179" s="6"/>
      <c r="AA179" s="6"/>
      <c r="AB179" s="6"/>
      <c r="AC179" s="6"/>
      <c r="AD179" s="6"/>
    </row>
    <row r="180">
      <c r="A180" s="6"/>
      <c r="B180" s="6"/>
      <c r="C180" s="6"/>
      <c r="D180" s="6"/>
      <c r="E180" s="6"/>
      <c r="F180" s="6"/>
      <c r="G180" s="6"/>
      <c r="H180" s="25"/>
      <c r="I180" s="25"/>
      <c r="J180" s="6"/>
      <c r="K180" s="6"/>
      <c r="L180" s="6"/>
      <c r="M180" s="6"/>
      <c r="N180" s="6"/>
      <c r="O180" s="6"/>
      <c r="P180" s="6"/>
      <c r="Q180" s="6"/>
      <c r="R180" s="6"/>
      <c r="S180" s="26"/>
      <c r="T180" s="26"/>
      <c r="U180" s="27"/>
      <c r="V180" s="6"/>
      <c r="W180" s="6"/>
      <c r="X180" s="6"/>
      <c r="Y180" s="6"/>
      <c r="Z180" s="6"/>
      <c r="AA180" s="6"/>
      <c r="AB180" s="6"/>
      <c r="AC180" s="6"/>
      <c r="AD180" s="6"/>
    </row>
    <row r="181">
      <c r="A181" s="6"/>
      <c r="B181" s="6"/>
      <c r="C181" s="6"/>
      <c r="D181" s="6"/>
      <c r="E181" s="6"/>
      <c r="F181" s="6"/>
      <c r="G181" s="6"/>
      <c r="H181" s="25"/>
      <c r="I181" s="25"/>
      <c r="J181" s="6"/>
      <c r="K181" s="6"/>
      <c r="L181" s="6"/>
      <c r="M181" s="6"/>
      <c r="N181" s="6"/>
      <c r="O181" s="6"/>
      <c r="P181" s="6"/>
      <c r="Q181" s="6"/>
      <c r="R181" s="6"/>
      <c r="S181" s="26"/>
      <c r="T181" s="26"/>
      <c r="U181" s="27"/>
      <c r="V181" s="6"/>
      <c r="W181" s="6"/>
      <c r="X181" s="6"/>
      <c r="Y181" s="6"/>
      <c r="Z181" s="6"/>
      <c r="AA181" s="6"/>
      <c r="AB181" s="6"/>
      <c r="AC181" s="6"/>
      <c r="AD181" s="6"/>
    </row>
    <row r="182">
      <c r="A182" s="6"/>
      <c r="B182" s="6"/>
      <c r="C182" s="6"/>
      <c r="D182" s="6"/>
      <c r="E182" s="6"/>
      <c r="F182" s="6"/>
      <c r="G182" s="6"/>
      <c r="H182" s="25"/>
      <c r="I182" s="25"/>
      <c r="J182" s="6"/>
      <c r="K182" s="6"/>
      <c r="L182" s="6"/>
      <c r="M182" s="6"/>
      <c r="N182" s="6"/>
      <c r="O182" s="6"/>
      <c r="P182" s="6"/>
      <c r="Q182" s="6"/>
      <c r="R182" s="6"/>
      <c r="S182" s="26"/>
      <c r="T182" s="26"/>
      <c r="U182" s="27"/>
      <c r="V182" s="6"/>
      <c r="W182" s="6"/>
      <c r="X182" s="6"/>
      <c r="Y182" s="6"/>
      <c r="Z182" s="6"/>
      <c r="AA182" s="6"/>
      <c r="AB182" s="6"/>
      <c r="AC182" s="6"/>
      <c r="AD182" s="6"/>
    </row>
    <row r="183">
      <c r="A183" s="6"/>
      <c r="B183" s="6"/>
      <c r="C183" s="6"/>
      <c r="D183" s="6"/>
      <c r="E183" s="6"/>
      <c r="F183" s="6"/>
      <c r="G183" s="6"/>
      <c r="H183" s="25"/>
      <c r="I183" s="25"/>
      <c r="J183" s="6"/>
      <c r="K183" s="6"/>
      <c r="L183" s="6"/>
      <c r="M183" s="6"/>
      <c r="N183" s="6"/>
      <c r="O183" s="6"/>
      <c r="P183" s="6"/>
      <c r="Q183" s="6"/>
      <c r="R183" s="6"/>
      <c r="S183" s="26"/>
      <c r="T183" s="26"/>
      <c r="U183" s="27"/>
      <c r="V183" s="6"/>
      <c r="W183" s="6"/>
      <c r="X183" s="6"/>
      <c r="Y183" s="6"/>
      <c r="Z183" s="6"/>
      <c r="AA183" s="6"/>
      <c r="AB183" s="6"/>
      <c r="AC183" s="6"/>
      <c r="AD183" s="6"/>
    </row>
    <row r="184">
      <c r="A184" s="6"/>
      <c r="B184" s="6"/>
      <c r="C184" s="6"/>
      <c r="D184" s="6"/>
      <c r="E184" s="6"/>
      <c r="F184" s="6"/>
      <c r="G184" s="6"/>
      <c r="H184" s="25"/>
      <c r="I184" s="25"/>
      <c r="J184" s="6"/>
      <c r="K184" s="6"/>
      <c r="L184" s="6"/>
      <c r="M184" s="6"/>
      <c r="N184" s="6"/>
      <c r="O184" s="6"/>
      <c r="P184" s="6"/>
      <c r="Q184" s="6"/>
      <c r="R184" s="6"/>
      <c r="S184" s="26"/>
      <c r="T184" s="26"/>
      <c r="U184" s="27"/>
      <c r="V184" s="6"/>
      <c r="W184" s="6"/>
      <c r="X184" s="6"/>
      <c r="Y184" s="6"/>
      <c r="Z184" s="6"/>
      <c r="AA184" s="6"/>
      <c r="AB184" s="6"/>
      <c r="AC184" s="6"/>
      <c r="AD184" s="6"/>
    </row>
    <row r="185">
      <c r="A185" s="6"/>
      <c r="B185" s="6"/>
      <c r="C185" s="6"/>
      <c r="D185" s="6"/>
      <c r="E185" s="6"/>
      <c r="F185" s="6"/>
      <c r="G185" s="6"/>
      <c r="H185" s="25"/>
      <c r="I185" s="25"/>
      <c r="J185" s="6"/>
      <c r="K185" s="6"/>
      <c r="L185" s="6"/>
      <c r="M185" s="6"/>
      <c r="N185" s="6"/>
      <c r="O185" s="6"/>
      <c r="P185" s="6"/>
      <c r="Q185" s="6"/>
      <c r="R185" s="6"/>
      <c r="S185" s="26"/>
      <c r="T185" s="26"/>
      <c r="U185" s="27"/>
      <c r="V185" s="6"/>
      <c r="W185" s="6"/>
      <c r="X185" s="6"/>
      <c r="Y185" s="6"/>
      <c r="Z185" s="6"/>
      <c r="AA185" s="6"/>
      <c r="AB185" s="6"/>
      <c r="AC185" s="6"/>
      <c r="AD185" s="6"/>
    </row>
    <row r="186">
      <c r="A186" s="6"/>
      <c r="B186" s="6"/>
      <c r="C186" s="6"/>
      <c r="D186" s="6"/>
      <c r="E186" s="6"/>
      <c r="F186" s="6"/>
      <c r="G186" s="6"/>
      <c r="H186" s="25"/>
      <c r="I186" s="25"/>
      <c r="J186" s="6"/>
      <c r="K186" s="6"/>
      <c r="L186" s="6"/>
      <c r="M186" s="6"/>
      <c r="N186" s="6"/>
      <c r="O186" s="6"/>
      <c r="P186" s="6"/>
      <c r="Q186" s="6"/>
      <c r="R186" s="6"/>
      <c r="S186" s="26"/>
      <c r="T186" s="26"/>
      <c r="U186" s="27"/>
      <c r="V186" s="6"/>
      <c r="W186" s="6"/>
      <c r="X186" s="6"/>
      <c r="Y186" s="6"/>
      <c r="Z186" s="6"/>
      <c r="AA186" s="6"/>
      <c r="AB186" s="6"/>
      <c r="AC186" s="6"/>
      <c r="AD186" s="6"/>
    </row>
    <row r="187">
      <c r="A187" s="6"/>
      <c r="B187" s="6"/>
      <c r="C187" s="6"/>
      <c r="D187" s="6"/>
      <c r="E187" s="6"/>
      <c r="F187" s="6"/>
      <c r="G187" s="6"/>
      <c r="H187" s="25"/>
      <c r="I187" s="25"/>
      <c r="J187" s="6"/>
      <c r="K187" s="6"/>
      <c r="L187" s="6"/>
      <c r="M187" s="6"/>
      <c r="N187" s="6"/>
      <c r="O187" s="6"/>
      <c r="P187" s="6"/>
      <c r="Q187" s="6"/>
      <c r="R187" s="6"/>
      <c r="S187" s="26"/>
      <c r="T187" s="26"/>
      <c r="U187" s="27"/>
      <c r="V187" s="6"/>
      <c r="W187" s="6"/>
      <c r="X187" s="6"/>
      <c r="Y187" s="6"/>
      <c r="Z187" s="6"/>
      <c r="AA187" s="6"/>
      <c r="AB187" s="6"/>
      <c r="AC187" s="6"/>
      <c r="AD187" s="6"/>
    </row>
    <row r="188">
      <c r="A188" s="6"/>
      <c r="B188" s="6"/>
      <c r="C188" s="6"/>
      <c r="D188" s="6"/>
      <c r="E188" s="6"/>
      <c r="F188" s="6"/>
      <c r="G188" s="6"/>
      <c r="H188" s="25"/>
      <c r="I188" s="25"/>
      <c r="J188" s="6"/>
      <c r="K188" s="6"/>
      <c r="L188" s="6"/>
      <c r="M188" s="6"/>
      <c r="N188" s="6"/>
      <c r="O188" s="6"/>
      <c r="P188" s="6"/>
      <c r="Q188" s="6"/>
      <c r="R188" s="6"/>
      <c r="S188" s="26"/>
      <c r="T188" s="26"/>
      <c r="U188" s="27"/>
      <c r="V188" s="6"/>
      <c r="W188" s="6"/>
      <c r="X188" s="6"/>
      <c r="Y188" s="6"/>
      <c r="Z188" s="6"/>
      <c r="AA188" s="6"/>
      <c r="AB188" s="6"/>
      <c r="AC188" s="6"/>
      <c r="AD188" s="6"/>
    </row>
    <row r="189">
      <c r="A189" s="6"/>
      <c r="B189" s="6"/>
      <c r="C189" s="6"/>
      <c r="D189" s="6"/>
      <c r="E189" s="6"/>
      <c r="F189" s="6"/>
      <c r="G189" s="6"/>
      <c r="H189" s="25"/>
      <c r="I189" s="25"/>
      <c r="J189" s="6"/>
      <c r="K189" s="6"/>
      <c r="L189" s="6"/>
      <c r="M189" s="6"/>
      <c r="N189" s="6"/>
      <c r="O189" s="6"/>
      <c r="P189" s="6"/>
      <c r="Q189" s="6"/>
      <c r="R189" s="6"/>
      <c r="S189" s="26"/>
      <c r="T189" s="26"/>
      <c r="U189" s="27"/>
      <c r="V189" s="6"/>
      <c r="W189" s="6"/>
      <c r="X189" s="6"/>
      <c r="Y189" s="6"/>
      <c r="Z189" s="6"/>
      <c r="AA189" s="6"/>
      <c r="AB189" s="6"/>
      <c r="AC189" s="6"/>
      <c r="AD189" s="6"/>
    </row>
    <row r="190">
      <c r="A190" s="6"/>
      <c r="B190" s="6"/>
      <c r="C190" s="6"/>
      <c r="D190" s="6"/>
      <c r="E190" s="6"/>
      <c r="F190" s="6"/>
      <c r="G190" s="6"/>
      <c r="H190" s="25"/>
      <c r="I190" s="25"/>
      <c r="J190" s="6"/>
      <c r="K190" s="6"/>
      <c r="L190" s="6"/>
      <c r="M190" s="6"/>
      <c r="N190" s="6"/>
      <c r="O190" s="6"/>
      <c r="P190" s="6"/>
      <c r="Q190" s="6"/>
      <c r="R190" s="6"/>
      <c r="S190" s="26"/>
      <c r="T190" s="26"/>
      <c r="U190" s="27"/>
      <c r="V190" s="6"/>
      <c r="W190" s="6"/>
      <c r="X190" s="6"/>
      <c r="Y190" s="6"/>
      <c r="Z190" s="6"/>
      <c r="AA190" s="6"/>
      <c r="AB190" s="6"/>
      <c r="AC190" s="6"/>
      <c r="AD190" s="6"/>
    </row>
    <row r="191">
      <c r="A191" s="6"/>
      <c r="B191" s="6"/>
      <c r="C191" s="6"/>
      <c r="D191" s="6"/>
      <c r="E191" s="6"/>
      <c r="F191" s="6"/>
      <c r="G191" s="6"/>
      <c r="H191" s="25"/>
      <c r="I191" s="25"/>
      <c r="J191" s="6"/>
      <c r="K191" s="6"/>
      <c r="L191" s="6"/>
      <c r="M191" s="6"/>
      <c r="N191" s="6"/>
      <c r="O191" s="6"/>
      <c r="P191" s="6"/>
      <c r="Q191" s="6"/>
      <c r="R191" s="6"/>
      <c r="S191" s="26"/>
      <c r="T191" s="26"/>
      <c r="U191" s="27"/>
      <c r="V191" s="6"/>
      <c r="W191" s="6"/>
      <c r="X191" s="6"/>
      <c r="Y191" s="6"/>
      <c r="Z191" s="6"/>
      <c r="AA191" s="6"/>
      <c r="AB191" s="6"/>
      <c r="AC191" s="6"/>
      <c r="AD191" s="6"/>
    </row>
    <row r="192">
      <c r="A192" s="6"/>
      <c r="B192" s="6"/>
      <c r="C192" s="6"/>
      <c r="D192" s="6"/>
      <c r="E192" s="6"/>
      <c r="F192" s="6"/>
      <c r="G192" s="6"/>
      <c r="H192" s="25"/>
      <c r="I192" s="25"/>
      <c r="J192" s="6"/>
      <c r="K192" s="6"/>
      <c r="L192" s="6"/>
      <c r="M192" s="6"/>
      <c r="N192" s="6"/>
      <c r="O192" s="6"/>
      <c r="P192" s="6"/>
      <c r="Q192" s="6"/>
      <c r="R192" s="6"/>
      <c r="S192" s="26"/>
      <c r="T192" s="26"/>
      <c r="U192" s="27"/>
      <c r="V192" s="6"/>
      <c r="W192" s="6"/>
      <c r="X192" s="6"/>
      <c r="Y192" s="6"/>
      <c r="Z192" s="6"/>
      <c r="AA192" s="6"/>
      <c r="AB192" s="6"/>
      <c r="AC192" s="6"/>
      <c r="AD192" s="6"/>
    </row>
    <row r="193">
      <c r="A193" s="6"/>
      <c r="B193" s="6"/>
      <c r="C193" s="6"/>
      <c r="D193" s="6"/>
      <c r="E193" s="6"/>
      <c r="F193" s="6"/>
      <c r="G193" s="6"/>
      <c r="H193" s="25"/>
      <c r="I193" s="25"/>
      <c r="J193" s="6"/>
      <c r="K193" s="6"/>
      <c r="L193" s="6"/>
      <c r="M193" s="6"/>
      <c r="N193" s="6"/>
      <c r="O193" s="6"/>
      <c r="P193" s="6"/>
      <c r="Q193" s="6"/>
      <c r="R193" s="6"/>
      <c r="S193" s="26"/>
      <c r="T193" s="26"/>
      <c r="U193" s="27"/>
      <c r="V193" s="6"/>
      <c r="W193" s="6"/>
      <c r="X193" s="6"/>
      <c r="Y193" s="6"/>
      <c r="Z193" s="6"/>
      <c r="AA193" s="6"/>
      <c r="AB193" s="6"/>
      <c r="AC193" s="6"/>
      <c r="AD193" s="6"/>
    </row>
    <row r="194">
      <c r="A194" s="6"/>
      <c r="B194" s="6"/>
      <c r="C194" s="6"/>
      <c r="D194" s="6"/>
      <c r="E194" s="6"/>
      <c r="F194" s="6"/>
      <c r="G194" s="6"/>
      <c r="H194" s="25"/>
      <c r="I194" s="25"/>
      <c r="J194" s="6"/>
      <c r="K194" s="6"/>
      <c r="L194" s="6"/>
      <c r="M194" s="6"/>
      <c r="N194" s="6"/>
      <c r="O194" s="6"/>
      <c r="P194" s="6"/>
      <c r="Q194" s="6"/>
      <c r="R194" s="6"/>
      <c r="S194" s="26"/>
      <c r="T194" s="26"/>
      <c r="U194" s="27"/>
      <c r="V194" s="6"/>
      <c r="W194" s="6"/>
      <c r="X194" s="6"/>
      <c r="Y194" s="6"/>
      <c r="Z194" s="6"/>
      <c r="AA194" s="6"/>
      <c r="AB194" s="6"/>
      <c r="AC194" s="6"/>
      <c r="AD194" s="6"/>
    </row>
    <row r="195">
      <c r="A195" s="6"/>
      <c r="B195" s="6"/>
      <c r="C195" s="6"/>
      <c r="D195" s="6"/>
      <c r="E195" s="6"/>
      <c r="F195" s="6"/>
      <c r="G195" s="6"/>
      <c r="H195" s="25"/>
      <c r="I195" s="25"/>
      <c r="J195" s="6"/>
      <c r="K195" s="6"/>
      <c r="L195" s="6"/>
      <c r="M195" s="6"/>
      <c r="N195" s="6"/>
      <c r="O195" s="6"/>
      <c r="P195" s="6"/>
      <c r="Q195" s="6"/>
      <c r="R195" s="6"/>
      <c r="S195" s="26"/>
      <c r="T195" s="26"/>
      <c r="U195" s="27"/>
      <c r="V195" s="6"/>
      <c r="W195" s="6"/>
      <c r="X195" s="6"/>
      <c r="Y195" s="6"/>
      <c r="Z195" s="6"/>
      <c r="AA195" s="6"/>
      <c r="AB195" s="6"/>
      <c r="AC195" s="6"/>
      <c r="AD195" s="6"/>
    </row>
    <row r="196">
      <c r="A196" s="6"/>
      <c r="B196" s="6"/>
      <c r="C196" s="6"/>
      <c r="D196" s="6"/>
      <c r="E196" s="6"/>
      <c r="F196" s="6"/>
      <c r="G196" s="6"/>
      <c r="H196" s="25"/>
      <c r="I196" s="25"/>
      <c r="J196" s="6"/>
      <c r="K196" s="6"/>
      <c r="L196" s="6"/>
      <c r="M196" s="6"/>
      <c r="N196" s="6"/>
      <c r="O196" s="6"/>
      <c r="P196" s="6"/>
      <c r="Q196" s="6"/>
      <c r="R196" s="6"/>
      <c r="S196" s="26"/>
      <c r="T196" s="26"/>
      <c r="U196" s="27"/>
      <c r="V196" s="6"/>
      <c r="W196" s="6"/>
      <c r="X196" s="6"/>
      <c r="Y196" s="6"/>
      <c r="Z196" s="6"/>
      <c r="AA196" s="6"/>
      <c r="AB196" s="6"/>
      <c r="AC196" s="6"/>
      <c r="AD196" s="6"/>
    </row>
    <row r="197">
      <c r="A197" s="6"/>
      <c r="B197" s="6"/>
      <c r="C197" s="6"/>
      <c r="D197" s="6"/>
      <c r="E197" s="6"/>
      <c r="F197" s="6"/>
      <c r="G197" s="6"/>
      <c r="H197" s="25"/>
      <c r="I197" s="25"/>
      <c r="J197" s="6"/>
      <c r="K197" s="6"/>
      <c r="L197" s="6"/>
      <c r="M197" s="6"/>
      <c r="N197" s="6"/>
      <c r="O197" s="6"/>
      <c r="P197" s="6"/>
      <c r="Q197" s="6"/>
      <c r="R197" s="6"/>
      <c r="S197" s="26"/>
      <c r="T197" s="26"/>
      <c r="U197" s="27"/>
      <c r="V197" s="6"/>
      <c r="W197" s="6"/>
      <c r="X197" s="6"/>
      <c r="Y197" s="6"/>
      <c r="Z197" s="6"/>
      <c r="AA197" s="6"/>
      <c r="AB197" s="6"/>
      <c r="AC197" s="6"/>
      <c r="AD197" s="6"/>
    </row>
    <row r="198">
      <c r="A198" s="6"/>
      <c r="B198" s="6"/>
      <c r="C198" s="6"/>
      <c r="D198" s="6"/>
      <c r="E198" s="6"/>
      <c r="F198" s="6"/>
      <c r="G198" s="6"/>
      <c r="H198" s="25"/>
      <c r="I198" s="25"/>
      <c r="J198" s="6"/>
      <c r="K198" s="6"/>
      <c r="L198" s="6"/>
      <c r="M198" s="6"/>
      <c r="N198" s="6"/>
      <c r="O198" s="6"/>
      <c r="P198" s="6"/>
      <c r="Q198" s="6"/>
      <c r="R198" s="6"/>
      <c r="S198" s="26"/>
      <c r="T198" s="26"/>
      <c r="U198" s="27"/>
      <c r="V198" s="6"/>
      <c r="W198" s="6"/>
      <c r="X198" s="6"/>
      <c r="Y198" s="6"/>
      <c r="Z198" s="6"/>
      <c r="AA198" s="6"/>
      <c r="AB198" s="6"/>
      <c r="AC198" s="6"/>
      <c r="AD198" s="6"/>
    </row>
    <row r="199">
      <c r="A199" s="6"/>
      <c r="B199" s="6"/>
      <c r="C199" s="6"/>
      <c r="D199" s="6"/>
      <c r="E199" s="6"/>
      <c r="F199" s="6"/>
      <c r="G199" s="6"/>
      <c r="H199" s="25"/>
      <c r="I199" s="25"/>
      <c r="J199" s="6"/>
      <c r="K199" s="6"/>
      <c r="L199" s="6"/>
      <c r="M199" s="6"/>
      <c r="N199" s="6"/>
      <c r="O199" s="6"/>
      <c r="P199" s="6"/>
      <c r="Q199" s="6"/>
      <c r="R199" s="6"/>
      <c r="S199" s="26"/>
      <c r="T199" s="26"/>
      <c r="U199" s="27"/>
      <c r="V199" s="6"/>
      <c r="W199" s="6"/>
      <c r="X199" s="6"/>
      <c r="Y199" s="6"/>
      <c r="Z199" s="6"/>
      <c r="AA199" s="6"/>
      <c r="AB199" s="6"/>
      <c r="AC199" s="6"/>
      <c r="AD199" s="6"/>
    </row>
    <row r="200">
      <c r="A200" s="6"/>
      <c r="B200" s="6"/>
      <c r="C200" s="6"/>
      <c r="D200" s="6"/>
      <c r="E200" s="6"/>
      <c r="F200" s="6"/>
      <c r="G200" s="6"/>
      <c r="H200" s="25"/>
      <c r="I200" s="25"/>
      <c r="J200" s="6"/>
      <c r="K200" s="6"/>
      <c r="L200" s="6"/>
      <c r="M200" s="6"/>
      <c r="N200" s="6"/>
      <c r="O200" s="6"/>
      <c r="P200" s="6"/>
      <c r="Q200" s="6"/>
      <c r="R200" s="6"/>
      <c r="S200" s="26"/>
      <c r="T200" s="26"/>
      <c r="U200" s="27"/>
      <c r="V200" s="6"/>
      <c r="W200" s="6"/>
      <c r="X200" s="6"/>
      <c r="Y200" s="6"/>
      <c r="Z200" s="6"/>
      <c r="AA200" s="6"/>
      <c r="AB200" s="6"/>
      <c r="AC200" s="6"/>
      <c r="AD200" s="6"/>
    </row>
    <row r="201">
      <c r="A201" s="6"/>
      <c r="B201" s="6"/>
      <c r="C201" s="6"/>
      <c r="D201" s="6"/>
      <c r="E201" s="6"/>
      <c r="F201" s="6"/>
      <c r="G201" s="6"/>
      <c r="H201" s="25"/>
      <c r="I201" s="25"/>
      <c r="J201" s="6"/>
      <c r="K201" s="6"/>
      <c r="L201" s="6"/>
      <c r="M201" s="6"/>
      <c r="N201" s="6"/>
      <c r="O201" s="6"/>
      <c r="P201" s="6"/>
      <c r="Q201" s="6"/>
      <c r="R201" s="6"/>
      <c r="S201" s="26"/>
      <c r="T201" s="26"/>
      <c r="U201" s="27"/>
      <c r="V201" s="6"/>
      <c r="W201" s="6"/>
      <c r="X201" s="6"/>
      <c r="Y201" s="6"/>
      <c r="Z201" s="6"/>
      <c r="AA201" s="6"/>
      <c r="AB201" s="6"/>
      <c r="AC201" s="6"/>
      <c r="AD201" s="6"/>
    </row>
    <row r="202">
      <c r="A202" s="6"/>
      <c r="B202" s="6"/>
      <c r="C202" s="6"/>
      <c r="D202" s="6"/>
      <c r="E202" s="6"/>
      <c r="F202" s="6"/>
      <c r="G202" s="6"/>
      <c r="H202" s="25"/>
      <c r="I202" s="25"/>
      <c r="J202" s="6"/>
      <c r="K202" s="6"/>
      <c r="L202" s="6"/>
      <c r="M202" s="6"/>
      <c r="N202" s="6"/>
      <c r="O202" s="6"/>
      <c r="P202" s="6"/>
      <c r="Q202" s="6"/>
      <c r="R202" s="6"/>
      <c r="S202" s="26"/>
      <c r="T202" s="26"/>
      <c r="U202" s="27"/>
      <c r="V202" s="6"/>
      <c r="W202" s="6"/>
      <c r="X202" s="6"/>
      <c r="Y202" s="6"/>
      <c r="Z202" s="6"/>
      <c r="AA202" s="6"/>
      <c r="AB202" s="6"/>
      <c r="AC202" s="6"/>
      <c r="AD202" s="6"/>
    </row>
    <row r="203">
      <c r="A203" s="6"/>
      <c r="B203" s="6"/>
      <c r="C203" s="6"/>
      <c r="D203" s="6"/>
      <c r="E203" s="6"/>
      <c r="F203" s="6"/>
      <c r="G203" s="6"/>
      <c r="H203" s="25"/>
      <c r="I203" s="25"/>
      <c r="J203" s="6"/>
      <c r="K203" s="6"/>
      <c r="L203" s="6"/>
      <c r="M203" s="6"/>
      <c r="N203" s="6"/>
      <c r="O203" s="6"/>
      <c r="P203" s="6"/>
      <c r="Q203" s="6"/>
      <c r="R203" s="6"/>
      <c r="S203" s="26"/>
      <c r="T203" s="26"/>
      <c r="U203" s="27"/>
      <c r="V203" s="6"/>
      <c r="W203" s="6"/>
      <c r="X203" s="6"/>
      <c r="Y203" s="6"/>
      <c r="Z203" s="6"/>
      <c r="AA203" s="6"/>
      <c r="AB203" s="6"/>
      <c r="AC203" s="6"/>
      <c r="AD203" s="6"/>
    </row>
    <row r="204">
      <c r="A204" s="6"/>
      <c r="B204" s="6"/>
      <c r="C204" s="6"/>
      <c r="D204" s="6"/>
      <c r="E204" s="6"/>
      <c r="F204" s="6"/>
      <c r="G204" s="6"/>
      <c r="H204" s="25"/>
      <c r="I204" s="25"/>
      <c r="J204" s="6"/>
      <c r="K204" s="6"/>
      <c r="L204" s="6"/>
      <c r="M204" s="6"/>
      <c r="N204" s="6"/>
      <c r="O204" s="6"/>
      <c r="P204" s="6"/>
      <c r="Q204" s="6"/>
      <c r="R204" s="6"/>
      <c r="S204" s="26"/>
      <c r="T204" s="26"/>
      <c r="U204" s="27"/>
      <c r="V204" s="6"/>
      <c r="W204" s="6"/>
      <c r="X204" s="6"/>
      <c r="Y204" s="6"/>
      <c r="Z204" s="6"/>
      <c r="AA204" s="6"/>
      <c r="AB204" s="6"/>
      <c r="AC204" s="6"/>
      <c r="AD204" s="6"/>
    </row>
    <row r="205">
      <c r="A205" s="6"/>
      <c r="B205" s="6"/>
      <c r="C205" s="6"/>
      <c r="D205" s="6"/>
      <c r="E205" s="6"/>
      <c r="F205" s="6"/>
      <c r="G205" s="6"/>
      <c r="H205" s="25"/>
      <c r="I205" s="25"/>
      <c r="J205" s="6"/>
      <c r="K205" s="6"/>
      <c r="L205" s="6"/>
      <c r="M205" s="6"/>
      <c r="N205" s="6"/>
      <c r="O205" s="6"/>
      <c r="P205" s="6"/>
      <c r="Q205" s="6"/>
      <c r="R205" s="6"/>
      <c r="S205" s="26"/>
      <c r="T205" s="26"/>
      <c r="U205" s="27"/>
      <c r="V205" s="6"/>
      <c r="W205" s="6"/>
      <c r="X205" s="6"/>
      <c r="Y205" s="6"/>
      <c r="Z205" s="6"/>
      <c r="AA205" s="6"/>
      <c r="AB205" s="6"/>
      <c r="AC205" s="6"/>
      <c r="AD205" s="6"/>
    </row>
    <row r="206">
      <c r="A206" s="6"/>
      <c r="B206" s="6"/>
      <c r="C206" s="6"/>
      <c r="D206" s="6"/>
      <c r="E206" s="6"/>
      <c r="F206" s="6"/>
      <c r="G206" s="6"/>
      <c r="H206" s="25"/>
      <c r="I206" s="25"/>
      <c r="J206" s="6"/>
      <c r="K206" s="6"/>
      <c r="L206" s="6"/>
      <c r="M206" s="6"/>
      <c r="N206" s="6"/>
      <c r="O206" s="6"/>
      <c r="P206" s="6"/>
      <c r="Q206" s="6"/>
      <c r="R206" s="6"/>
      <c r="S206" s="26"/>
      <c r="T206" s="26"/>
      <c r="U206" s="27"/>
      <c r="V206" s="6"/>
      <c r="W206" s="6"/>
      <c r="X206" s="6"/>
      <c r="Y206" s="6"/>
      <c r="Z206" s="6"/>
      <c r="AA206" s="6"/>
      <c r="AB206" s="6"/>
      <c r="AC206" s="6"/>
      <c r="AD206" s="6"/>
    </row>
    <row r="207">
      <c r="A207" s="6"/>
      <c r="B207" s="6"/>
      <c r="C207" s="6"/>
      <c r="D207" s="6"/>
      <c r="E207" s="6"/>
      <c r="F207" s="6"/>
      <c r="G207" s="6"/>
      <c r="H207" s="25"/>
      <c r="I207" s="25"/>
      <c r="J207" s="6"/>
      <c r="K207" s="6"/>
      <c r="L207" s="6"/>
      <c r="M207" s="6"/>
      <c r="N207" s="6"/>
      <c r="O207" s="6"/>
      <c r="P207" s="6"/>
      <c r="Q207" s="6"/>
      <c r="R207" s="6"/>
      <c r="S207" s="26"/>
      <c r="T207" s="26"/>
      <c r="U207" s="27"/>
      <c r="V207" s="6"/>
      <c r="W207" s="6"/>
      <c r="X207" s="6"/>
      <c r="Y207" s="6"/>
      <c r="Z207" s="6"/>
      <c r="AA207" s="6"/>
      <c r="AB207" s="6"/>
      <c r="AC207" s="6"/>
      <c r="AD207" s="6"/>
    </row>
    <row r="208">
      <c r="A208" s="6"/>
      <c r="B208" s="6"/>
      <c r="C208" s="6"/>
      <c r="D208" s="6"/>
      <c r="E208" s="6"/>
      <c r="F208" s="6"/>
      <c r="G208" s="6"/>
      <c r="H208" s="25"/>
      <c r="I208" s="25"/>
      <c r="J208" s="6"/>
      <c r="K208" s="6"/>
      <c r="L208" s="6"/>
      <c r="M208" s="6"/>
      <c r="N208" s="6"/>
      <c r="O208" s="6"/>
      <c r="P208" s="6"/>
      <c r="Q208" s="6"/>
      <c r="R208" s="6"/>
      <c r="S208" s="26"/>
      <c r="T208" s="26"/>
      <c r="U208" s="27"/>
      <c r="V208" s="6"/>
      <c r="W208" s="6"/>
      <c r="X208" s="6"/>
      <c r="Y208" s="6"/>
      <c r="Z208" s="6"/>
      <c r="AA208" s="6"/>
      <c r="AB208" s="6"/>
      <c r="AC208" s="6"/>
      <c r="AD208" s="6"/>
    </row>
    <row r="209">
      <c r="A209" s="6"/>
      <c r="B209" s="6"/>
      <c r="C209" s="6"/>
      <c r="D209" s="6"/>
      <c r="E209" s="6"/>
      <c r="F209" s="6"/>
      <c r="G209" s="6"/>
      <c r="H209" s="25"/>
      <c r="I209" s="25"/>
      <c r="J209" s="6"/>
      <c r="K209" s="6"/>
      <c r="L209" s="6"/>
      <c r="M209" s="6"/>
      <c r="N209" s="6"/>
      <c r="O209" s="6"/>
      <c r="P209" s="6"/>
      <c r="Q209" s="6"/>
      <c r="R209" s="6"/>
      <c r="S209" s="26"/>
      <c r="T209" s="26"/>
      <c r="U209" s="27"/>
      <c r="V209" s="6"/>
      <c r="W209" s="6"/>
      <c r="X209" s="6"/>
      <c r="Y209" s="6"/>
      <c r="Z209" s="6"/>
      <c r="AA209" s="6"/>
      <c r="AB209" s="6"/>
      <c r="AC209" s="6"/>
      <c r="AD209" s="6"/>
    </row>
    <row r="210">
      <c r="A210" s="6"/>
      <c r="B210" s="6"/>
      <c r="C210" s="6"/>
      <c r="D210" s="6"/>
      <c r="E210" s="6"/>
      <c r="F210" s="6"/>
      <c r="G210" s="6"/>
      <c r="H210" s="25"/>
      <c r="I210" s="25"/>
      <c r="J210" s="6"/>
      <c r="K210" s="6"/>
      <c r="L210" s="6"/>
      <c r="M210" s="6"/>
      <c r="N210" s="6"/>
      <c r="O210" s="6"/>
      <c r="P210" s="6"/>
      <c r="Q210" s="6"/>
      <c r="R210" s="6"/>
      <c r="S210" s="26"/>
      <c r="T210" s="26"/>
      <c r="U210" s="27"/>
      <c r="V210" s="6"/>
      <c r="W210" s="6"/>
      <c r="X210" s="6"/>
      <c r="Y210" s="6"/>
      <c r="Z210" s="6"/>
      <c r="AA210" s="6"/>
      <c r="AB210" s="6"/>
      <c r="AC210" s="6"/>
      <c r="AD210" s="6"/>
    </row>
    <row r="211">
      <c r="A211" s="6"/>
      <c r="B211" s="6"/>
      <c r="C211" s="6"/>
      <c r="D211" s="6"/>
      <c r="E211" s="6"/>
      <c r="F211" s="6"/>
      <c r="G211" s="6"/>
      <c r="H211" s="25"/>
      <c r="I211" s="25"/>
      <c r="J211" s="6"/>
      <c r="K211" s="6"/>
      <c r="L211" s="6"/>
      <c r="M211" s="6"/>
      <c r="N211" s="6"/>
      <c r="O211" s="6"/>
      <c r="P211" s="6"/>
      <c r="Q211" s="6"/>
      <c r="R211" s="6"/>
      <c r="S211" s="26"/>
      <c r="T211" s="26"/>
      <c r="U211" s="27"/>
      <c r="V211" s="6"/>
      <c r="W211" s="6"/>
      <c r="X211" s="6"/>
      <c r="Y211" s="6"/>
      <c r="Z211" s="6"/>
      <c r="AA211" s="6"/>
      <c r="AB211" s="6"/>
      <c r="AC211" s="6"/>
      <c r="AD211" s="6"/>
    </row>
    <row r="212">
      <c r="A212" s="6"/>
      <c r="B212" s="6"/>
      <c r="C212" s="6"/>
      <c r="D212" s="6"/>
      <c r="E212" s="6"/>
      <c r="F212" s="6"/>
      <c r="G212" s="6"/>
      <c r="H212" s="25"/>
      <c r="I212" s="25"/>
      <c r="J212" s="6"/>
      <c r="K212" s="6"/>
      <c r="L212" s="6"/>
      <c r="M212" s="6"/>
      <c r="N212" s="6"/>
      <c r="O212" s="6"/>
      <c r="P212" s="6"/>
      <c r="Q212" s="6"/>
      <c r="R212" s="6"/>
      <c r="S212" s="26"/>
      <c r="T212" s="26"/>
      <c r="U212" s="27"/>
      <c r="V212" s="6"/>
      <c r="W212" s="6"/>
      <c r="X212" s="6"/>
      <c r="Y212" s="6"/>
      <c r="Z212" s="6"/>
      <c r="AA212" s="6"/>
      <c r="AB212" s="6"/>
      <c r="AC212" s="6"/>
      <c r="AD212" s="6"/>
    </row>
    <row r="213">
      <c r="A213" s="6"/>
      <c r="B213" s="6"/>
      <c r="C213" s="6"/>
      <c r="D213" s="6"/>
      <c r="E213" s="6"/>
      <c r="F213" s="6"/>
      <c r="G213" s="6"/>
      <c r="H213" s="25"/>
      <c r="I213" s="25"/>
      <c r="J213" s="6"/>
      <c r="K213" s="6"/>
      <c r="L213" s="6"/>
      <c r="M213" s="6"/>
      <c r="N213" s="6"/>
      <c r="O213" s="6"/>
      <c r="P213" s="6"/>
      <c r="Q213" s="6"/>
      <c r="R213" s="6"/>
      <c r="S213" s="26"/>
      <c r="T213" s="26"/>
      <c r="U213" s="27"/>
      <c r="V213" s="6"/>
      <c r="W213" s="6"/>
      <c r="X213" s="6"/>
      <c r="Y213" s="6"/>
      <c r="Z213" s="6"/>
      <c r="AA213" s="6"/>
      <c r="AB213" s="6"/>
      <c r="AC213" s="6"/>
      <c r="AD213" s="6"/>
    </row>
    <row r="214">
      <c r="A214" s="6"/>
      <c r="B214" s="6"/>
      <c r="C214" s="6"/>
      <c r="D214" s="6"/>
      <c r="E214" s="6"/>
      <c r="F214" s="6"/>
      <c r="G214" s="6"/>
      <c r="H214" s="25"/>
      <c r="I214" s="25"/>
      <c r="J214" s="6"/>
      <c r="K214" s="6"/>
      <c r="L214" s="6"/>
      <c r="M214" s="6"/>
      <c r="N214" s="6"/>
      <c r="O214" s="6"/>
      <c r="P214" s="6"/>
      <c r="Q214" s="6"/>
      <c r="R214" s="6"/>
      <c r="S214" s="26"/>
      <c r="T214" s="26"/>
      <c r="U214" s="27"/>
      <c r="V214" s="6"/>
      <c r="W214" s="6"/>
      <c r="X214" s="6"/>
      <c r="Y214" s="6"/>
      <c r="Z214" s="6"/>
      <c r="AA214" s="6"/>
      <c r="AB214" s="6"/>
      <c r="AC214" s="6"/>
      <c r="AD214" s="6"/>
    </row>
    <row r="215">
      <c r="A215" s="6"/>
      <c r="B215" s="6"/>
      <c r="C215" s="6"/>
      <c r="D215" s="6"/>
      <c r="E215" s="6"/>
      <c r="F215" s="6"/>
      <c r="G215" s="6"/>
      <c r="H215" s="25"/>
      <c r="I215" s="25"/>
      <c r="J215" s="6"/>
      <c r="K215" s="6"/>
      <c r="L215" s="6"/>
      <c r="M215" s="6"/>
      <c r="N215" s="6"/>
      <c r="O215" s="6"/>
      <c r="P215" s="6"/>
      <c r="Q215" s="6"/>
      <c r="R215" s="6"/>
      <c r="S215" s="26"/>
      <c r="T215" s="26"/>
      <c r="U215" s="27"/>
      <c r="V215" s="6"/>
      <c r="W215" s="6"/>
      <c r="X215" s="6"/>
      <c r="Y215" s="6"/>
      <c r="Z215" s="6"/>
      <c r="AA215" s="6"/>
      <c r="AB215" s="6"/>
      <c r="AC215" s="6"/>
      <c r="AD215" s="6"/>
    </row>
    <row r="216">
      <c r="A216" s="6"/>
      <c r="B216" s="6"/>
      <c r="C216" s="6"/>
      <c r="D216" s="6"/>
      <c r="E216" s="6"/>
      <c r="F216" s="6"/>
      <c r="G216" s="6"/>
      <c r="H216" s="25"/>
      <c r="I216" s="25"/>
      <c r="J216" s="6"/>
      <c r="K216" s="6"/>
      <c r="L216" s="6"/>
      <c r="M216" s="6"/>
      <c r="N216" s="6"/>
      <c r="O216" s="6"/>
      <c r="P216" s="6"/>
      <c r="Q216" s="6"/>
      <c r="R216" s="6"/>
      <c r="S216" s="26"/>
      <c r="T216" s="26"/>
      <c r="U216" s="27"/>
      <c r="V216" s="6"/>
      <c r="W216" s="6"/>
      <c r="X216" s="6"/>
      <c r="Y216" s="6"/>
      <c r="Z216" s="6"/>
      <c r="AA216" s="6"/>
      <c r="AB216" s="6"/>
      <c r="AC216" s="6"/>
      <c r="AD216" s="6"/>
    </row>
    <row r="217">
      <c r="A217" s="6"/>
      <c r="B217" s="6"/>
      <c r="C217" s="6"/>
      <c r="D217" s="6"/>
      <c r="E217" s="6"/>
      <c r="F217" s="6"/>
      <c r="G217" s="6"/>
      <c r="H217" s="25"/>
      <c r="I217" s="25"/>
      <c r="J217" s="6"/>
      <c r="K217" s="6"/>
      <c r="L217" s="6"/>
      <c r="M217" s="6"/>
      <c r="N217" s="6"/>
      <c r="O217" s="6"/>
      <c r="P217" s="6"/>
      <c r="Q217" s="6"/>
      <c r="R217" s="6"/>
      <c r="S217" s="26"/>
      <c r="T217" s="26"/>
      <c r="U217" s="27"/>
      <c r="V217" s="6"/>
      <c r="W217" s="6"/>
      <c r="X217" s="6"/>
      <c r="Y217" s="6"/>
      <c r="Z217" s="6"/>
      <c r="AA217" s="6"/>
      <c r="AB217" s="6"/>
      <c r="AC217" s="6"/>
      <c r="AD217" s="6"/>
    </row>
    <row r="218">
      <c r="A218" s="6"/>
      <c r="B218" s="6"/>
      <c r="C218" s="6"/>
      <c r="D218" s="6"/>
      <c r="E218" s="6"/>
      <c r="F218" s="6"/>
      <c r="G218" s="6"/>
      <c r="H218" s="25"/>
      <c r="I218" s="25"/>
      <c r="J218" s="6"/>
      <c r="K218" s="6"/>
      <c r="L218" s="6"/>
      <c r="M218" s="6"/>
      <c r="N218" s="6"/>
      <c r="O218" s="6"/>
      <c r="P218" s="6"/>
      <c r="Q218" s="6"/>
      <c r="R218" s="6"/>
      <c r="S218" s="26"/>
      <c r="T218" s="26"/>
      <c r="U218" s="27"/>
      <c r="V218" s="6"/>
      <c r="W218" s="6"/>
      <c r="X218" s="6"/>
      <c r="Y218" s="6"/>
      <c r="Z218" s="6"/>
      <c r="AA218" s="6"/>
      <c r="AB218" s="6"/>
      <c r="AC218" s="6"/>
      <c r="AD218" s="6"/>
    </row>
    <row r="219">
      <c r="A219" s="6"/>
      <c r="B219" s="6"/>
      <c r="C219" s="6"/>
      <c r="D219" s="6"/>
      <c r="E219" s="6"/>
      <c r="F219" s="6"/>
      <c r="G219" s="6"/>
      <c r="H219" s="25"/>
      <c r="I219" s="25"/>
      <c r="J219" s="6"/>
      <c r="K219" s="6"/>
      <c r="L219" s="6"/>
      <c r="M219" s="6"/>
      <c r="N219" s="6"/>
      <c r="O219" s="6"/>
      <c r="P219" s="6"/>
      <c r="Q219" s="6"/>
      <c r="R219" s="6"/>
      <c r="S219" s="26"/>
      <c r="T219" s="26"/>
      <c r="U219" s="27"/>
      <c r="V219" s="6"/>
      <c r="W219" s="6"/>
      <c r="X219" s="6"/>
      <c r="Y219" s="6"/>
      <c r="Z219" s="6"/>
      <c r="AA219" s="6"/>
      <c r="AB219" s="6"/>
      <c r="AC219" s="6"/>
      <c r="AD219" s="6"/>
    </row>
    <row r="220">
      <c r="A220" s="6"/>
      <c r="B220" s="6"/>
      <c r="C220" s="6"/>
      <c r="D220" s="6"/>
      <c r="E220" s="6"/>
      <c r="F220" s="6"/>
      <c r="G220" s="6"/>
      <c r="H220" s="25"/>
      <c r="I220" s="25"/>
      <c r="J220" s="6"/>
      <c r="K220" s="6"/>
      <c r="L220" s="6"/>
      <c r="M220" s="6"/>
      <c r="N220" s="6"/>
      <c r="O220" s="6"/>
      <c r="P220" s="6"/>
      <c r="Q220" s="6"/>
      <c r="R220" s="6"/>
      <c r="S220" s="26"/>
      <c r="T220" s="26"/>
      <c r="U220" s="27"/>
      <c r="V220" s="6"/>
      <c r="W220" s="6"/>
      <c r="X220" s="6"/>
      <c r="Y220" s="6"/>
      <c r="Z220" s="6"/>
      <c r="AA220" s="6"/>
      <c r="AB220" s="6"/>
      <c r="AC220" s="6"/>
      <c r="AD220" s="6"/>
    </row>
    <row r="221">
      <c r="A221" s="6"/>
      <c r="B221" s="6"/>
      <c r="C221" s="6"/>
      <c r="D221" s="6"/>
      <c r="E221" s="6"/>
      <c r="F221" s="6"/>
      <c r="G221" s="6"/>
      <c r="H221" s="25"/>
      <c r="I221" s="25"/>
      <c r="J221" s="6"/>
      <c r="K221" s="6"/>
      <c r="L221" s="6"/>
      <c r="M221" s="6"/>
      <c r="N221" s="6"/>
      <c r="O221" s="6"/>
      <c r="P221" s="6"/>
      <c r="Q221" s="6"/>
      <c r="R221" s="6"/>
      <c r="S221" s="26"/>
      <c r="T221" s="26"/>
      <c r="U221" s="27"/>
      <c r="V221" s="6"/>
      <c r="W221" s="6"/>
      <c r="X221" s="6"/>
      <c r="Y221" s="6"/>
      <c r="Z221" s="6"/>
      <c r="AA221" s="6"/>
      <c r="AB221" s="6"/>
      <c r="AC221" s="6"/>
      <c r="AD221" s="6"/>
    </row>
    <row r="222">
      <c r="A222" s="6"/>
      <c r="B222" s="6"/>
      <c r="C222" s="6"/>
      <c r="D222" s="6"/>
      <c r="E222" s="6"/>
      <c r="F222" s="6"/>
      <c r="G222" s="6"/>
      <c r="H222" s="25"/>
      <c r="I222" s="25"/>
      <c r="J222" s="6"/>
      <c r="K222" s="6"/>
      <c r="L222" s="6"/>
      <c r="M222" s="6"/>
      <c r="N222" s="6"/>
      <c r="O222" s="6"/>
      <c r="P222" s="6"/>
      <c r="Q222" s="6"/>
      <c r="R222" s="6"/>
      <c r="S222" s="26"/>
      <c r="T222" s="26"/>
      <c r="U222" s="27"/>
      <c r="V222" s="6"/>
      <c r="W222" s="6"/>
      <c r="X222" s="6"/>
      <c r="Y222" s="6"/>
      <c r="Z222" s="6"/>
      <c r="AA222" s="6"/>
      <c r="AB222" s="6"/>
      <c r="AC222" s="6"/>
      <c r="AD222" s="6"/>
    </row>
    <row r="223">
      <c r="A223" s="6"/>
      <c r="B223" s="6"/>
      <c r="C223" s="6"/>
      <c r="D223" s="6"/>
      <c r="E223" s="6"/>
      <c r="F223" s="6"/>
      <c r="G223" s="6"/>
      <c r="H223" s="25"/>
      <c r="I223" s="25"/>
      <c r="J223" s="6"/>
      <c r="K223" s="6"/>
      <c r="L223" s="6"/>
      <c r="M223" s="6"/>
      <c r="N223" s="6"/>
      <c r="O223" s="6"/>
      <c r="P223" s="6"/>
      <c r="Q223" s="6"/>
      <c r="R223" s="6"/>
      <c r="S223" s="26"/>
      <c r="T223" s="26"/>
      <c r="U223" s="27"/>
      <c r="V223" s="6"/>
      <c r="W223" s="6"/>
      <c r="X223" s="6"/>
      <c r="Y223" s="6"/>
      <c r="Z223" s="6"/>
      <c r="AA223" s="6"/>
      <c r="AB223" s="6"/>
      <c r="AC223" s="6"/>
      <c r="AD223" s="6"/>
    </row>
    <row r="224">
      <c r="A224" s="6"/>
      <c r="B224" s="6"/>
      <c r="C224" s="6"/>
      <c r="D224" s="6"/>
      <c r="E224" s="6"/>
      <c r="F224" s="6"/>
      <c r="G224" s="6"/>
      <c r="H224" s="25"/>
      <c r="I224" s="25"/>
      <c r="J224" s="6"/>
      <c r="K224" s="6"/>
      <c r="L224" s="6"/>
      <c r="M224" s="6"/>
      <c r="N224" s="6"/>
      <c r="O224" s="6"/>
      <c r="P224" s="6"/>
      <c r="Q224" s="6"/>
      <c r="R224" s="6"/>
      <c r="S224" s="26"/>
      <c r="T224" s="26"/>
      <c r="U224" s="27"/>
      <c r="V224" s="6"/>
      <c r="W224" s="6"/>
      <c r="X224" s="6"/>
      <c r="Y224" s="6"/>
      <c r="Z224" s="6"/>
      <c r="AA224" s="6"/>
      <c r="AB224" s="6"/>
      <c r="AC224" s="6"/>
      <c r="AD224" s="6"/>
    </row>
    <row r="225">
      <c r="A225" s="6"/>
      <c r="B225" s="6"/>
      <c r="C225" s="6"/>
      <c r="D225" s="6"/>
      <c r="E225" s="6"/>
      <c r="F225" s="6"/>
      <c r="G225" s="6"/>
      <c r="H225" s="25"/>
      <c r="I225" s="25"/>
      <c r="J225" s="6"/>
      <c r="K225" s="6"/>
      <c r="L225" s="6"/>
      <c r="M225" s="6"/>
      <c r="N225" s="6"/>
      <c r="O225" s="6"/>
      <c r="P225" s="6"/>
      <c r="Q225" s="6"/>
      <c r="R225" s="6"/>
      <c r="S225" s="26"/>
      <c r="T225" s="26"/>
      <c r="U225" s="27"/>
      <c r="V225" s="6"/>
      <c r="W225" s="6"/>
      <c r="X225" s="6"/>
      <c r="Y225" s="6"/>
      <c r="Z225" s="6"/>
      <c r="AA225" s="6"/>
      <c r="AB225" s="6"/>
      <c r="AC225" s="6"/>
      <c r="AD225" s="6"/>
    </row>
    <row r="226">
      <c r="A226" s="6"/>
      <c r="B226" s="6"/>
      <c r="C226" s="6"/>
      <c r="D226" s="6"/>
      <c r="E226" s="6"/>
      <c r="F226" s="6"/>
      <c r="G226" s="6"/>
      <c r="H226" s="25"/>
      <c r="I226" s="25"/>
      <c r="J226" s="6"/>
      <c r="K226" s="6"/>
      <c r="L226" s="6"/>
      <c r="M226" s="6"/>
      <c r="N226" s="6"/>
      <c r="O226" s="6"/>
      <c r="P226" s="6"/>
      <c r="Q226" s="6"/>
      <c r="R226" s="6"/>
      <c r="S226" s="26"/>
      <c r="T226" s="26"/>
      <c r="U226" s="27"/>
      <c r="V226" s="6"/>
      <c r="W226" s="6"/>
      <c r="X226" s="6"/>
      <c r="Y226" s="6"/>
      <c r="Z226" s="6"/>
      <c r="AA226" s="6"/>
      <c r="AB226" s="6"/>
      <c r="AC226" s="6"/>
      <c r="AD226" s="6"/>
    </row>
    <row r="227">
      <c r="A227" s="6"/>
      <c r="B227" s="6"/>
      <c r="C227" s="6"/>
      <c r="D227" s="6"/>
      <c r="E227" s="6"/>
      <c r="F227" s="6"/>
      <c r="G227" s="6"/>
      <c r="H227" s="25"/>
      <c r="I227" s="25"/>
      <c r="J227" s="6"/>
      <c r="K227" s="6"/>
      <c r="L227" s="6"/>
      <c r="M227" s="6"/>
      <c r="N227" s="6"/>
      <c r="O227" s="6"/>
      <c r="P227" s="6"/>
      <c r="Q227" s="6"/>
      <c r="R227" s="6"/>
      <c r="S227" s="26"/>
      <c r="T227" s="26"/>
      <c r="U227" s="27"/>
      <c r="V227" s="6"/>
      <c r="W227" s="6"/>
      <c r="X227" s="6"/>
      <c r="Y227" s="6"/>
      <c r="Z227" s="6"/>
      <c r="AA227" s="6"/>
      <c r="AB227" s="6"/>
      <c r="AC227" s="6"/>
      <c r="AD227" s="6"/>
    </row>
    <row r="228">
      <c r="A228" s="6"/>
      <c r="B228" s="6"/>
      <c r="C228" s="6"/>
      <c r="D228" s="6"/>
      <c r="E228" s="6"/>
      <c r="F228" s="6"/>
      <c r="G228" s="6"/>
      <c r="H228" s="25"/>
      <c r="I228" s="25"/>
      <c r="J228" s="6"/>
      <c r="K228" s="6"/>
      <c r="L228" s="6"/>
      <c r="M228" s="6"/>
      <c r="N228" s="6"/>
      <c r="O228" s="6"/>
      <c r="P228" s="6"/>
      <c r="Q228" s="6"/>
      <c r="R228" s="6"/>
      <c r="S228" s="26"/>
      <c r="T228" s="26"/>
      <c r="U228" s="27"/>
      <c r="V228" s="6"/>
      <c r="W228" s="6"/>
      <c r="X228" s="6"/>
      <c r="Y228" s="6"/>
      <c r="Z228" s="6"/>
      <c r="AA228" s="6"/>
      <c r="AB228" s="6"/>
      <c r="AC228" s="6"/>
      <c r="AD228" s="6"/>
    </row>
    <row r="229">
      <c r="A229" s="6"/>
      <c r="B229" s="6"/>
      <c r="C229" s="6"/>
      <c r="D229" s="6"/>
      <c r="E229" s="6"/>
      <c r="F229" s="6"/>
      <c r="G229" s="6"/>
      <c r="H229" s="25"/>
      <c r="I229" s="25"/>
      <c r="J229" s="6"/>
      <c r="K229" s="6"/>
      <c r="L229" s="6"/>
      <c r="M229" s="6"/>
      <c r="N229" s="6"/>
      <c r="O229" s="6"/>
      <c r="P229" s="6"/>
      <c r="Q229" s="6"/>
      <c r="R229" s="6"/>
      <c r="S229" s="26"/>
      <c r="T229" s="26"/>
      <c r="U229" s="27"/>
      <c r="V229" s="6"/>
      <c r="W229" s="6"/>
      <c r="X229" s="6"/>
      <c r="Y229" s="6"/>
      <c r="Z229" s="6"/>
      <c r="AA229" s="6"/>
      <c r="AB229" s="6"/>
      <c r="AC229" s="6"/>
      <c r="AD229" s="6"/>
    </row>
    <row r="230">
      <c r="A230" s="6"/>
      <c r="B230" s="6"/>
      <c r="C230" s="6"/>
      <c r="D230" s="6"/>
      <c r="E230" s="6"/>
      <c r="F230" s="6"/>
      <c r="G230" s="6"/>
      <c r="H230" s="25"/>
      <c r="I230" s="25"/>
      <c r="J230" s="6"/>
      <c r="K230" s="6"/>
      <c r="L230" s="6"/>
      <c r="M230" s="6"/>
      <c r="N230" s="6"/>
      <c r="O230" s="6"/>
      <c r="P230" s="6"/>
      <c r="Q230" s="6"/>
      <c r="R230" s="6"/>
      <c r="S230" s="26"/>
      <c r="T230" s="26"/>
      <c r="U230" s="27"/>
      <c r="V230" s="6"/>
      <c r="W230" s="6"/>
      <c r="X230" s="6"/>
      <c r="Y230" s="6"/>
      <c r="Z230" s="6"/>
      <c r="AA230" s="6"/>
      <c r="AB230" s="6"/>
      <c r="AC230" s="6"/>
      <c r="AD230" s="6"/>
    </row>
    <row r="231">
      <c r="A231" s="6"/>
      <c r="B231" s="6"/>
      <c r="C231" s="6"/>
      <c r="D231" s="6"/>
      <c r="E231" s="6"/>
      <c r="F231" s="6"/>
      <c r="G231" s="6"/>
      <c r="H231" s="25"/>
      <c r="I231" s="25"/>
      <c r="J231" s="6"/>
      <c r="K231" s="6"/>
      <c r="L231" s="6"/>
      <c r="M231" s="6"/>
      <c r="N231" s="6"/>
      <c r="O231" s="6"/>
      <c r="P231" s="6"/>
      <c r="Q231" s="6"/>
      <c r="R231" s="6"/>
      <c r="S231" s="26"/>
      <c r="T231" s="26"/>
      <c r="U231" s="27"/>
      <c r="V231" s="6"/>
      <c r="W231" s="6"/>
      <c r="X231" s="6"/>
      <c r="Y231" s="6"/>
      <c r="Z231" s="6"/>
      <c r="AA231" s="6"/>
      <c r="AB231" s="6"/>
      <c r="AC231" s="6"/>
      <c r="AD231" s="6"/>
    </row>
    <row r="232">
      <c r="A232" s="6"/>
      <c r="B232" s="6"/>
      <c r="C232" s="6"/>
      <c r="D232" s="6"/>
      <c r="E232" s="6"/>
      <c r="F232" s="6"/>
      <c r="G232" s="6"/>
      <c r="H232" s="25"/>
      <c r="I232" s="25"/>
      <c r="J232" s="6"/>
      <c r="K232" s="6"/>
      <c r="L232" s="6"/>
      <c r="M232" s="6"/>
      <c r="N232" s="6"/>
      <c r="O232" s="6"/>
      <c r="P232" s="6"/>
      <c r="Q232" s="6"/>
      <c r="R232" s="6"/>
      <c r="S232" s="26"/>
      <c r="T232" s="26"/>
      <c r="U232" s="27"/>
      <c r="V232" s="6"/>
      <c r="W232" s="6"/>
      <c r="X232" s="6"/>
      <c r="Y232" s="6"/>
      <c r="Z232" s="6"/>
      <c r="AA232" s="6"/>
      <c r="AB232" s="6"/>
      <c r="AC232" s="6"/>
      <c r="AD232" s="6"/>
    </row>
    <row r="233">
      <c r="A233" s="6"/>
      <c r="B233" s="6"/>
      <c r="C233" s="6"/>
      <c r="D233" s="6"/>
      <c r="E233" s="6"/>
      <c r="F233" s="6"/>
      <c r="G233" s="6"/>
      <c r="H233" s="25"/>
      <c r="I233" s="25"/>
      <c r="J233" s="6"/>
      <c r="K233" s="6"/>
      <c r="L233" s="6"/>
      <c r="M233" s="6"/>
      <c r="N233" s="6"/>
      <c r="O233" s="6"/>
      <c r="P233" s="6"/>
      <c r="Q233" s="6"/>
      <c r="R233" s="6"/>
      <c r="S233" s="26"/>
      <c r="T233" s="26"/>
      <c r="U233" s="27"/>
      <c r="V233" s="6"/>
      <c r="W233" s="6"/>
      <c r="X233" s="6"/>
      <c r="Y233" s="6"/>
      <c r="Z233" s="6"/>
      <c r="AA233" s="6"/>
      <c r="AB233" s="6"/>
      <c r="AC233" s="6"/>
      <c r="AD233" s="6"/>
    </row>
    <row r="234">
      <c r="A234" s="6"/>
      <c r="B234" s="6"/>
      <c r="C234" s="6"/>
      <c r="D234" s="6"/>
      <c r="E234" s="6"/>
      <c r="F234" s="6"/>
      <c r="G234" s="6"/>
      <c r="H234" s="25"/>
      <c r="I234" s="25"/>
      <c r="J234" s="6"/>
      <c r="K234" s="6"/>
      <c r="L234" s="6"/>
      <c r="M234" s="6"/>
      <c r="N234" s="6"/>
      <c r="O234" s="6"/>
      <c r="P234" s="6"/>
      <c r="Q234" s="6"/>
      <c r="R234" s="6"/>
      <c r="S234" s="26"/>
      <c r="T234" s="26"/>
      <c r="U234" s="27"/>
      <c r="V234" s="6"/>
      <c r="W234" s="6"/>
      <c r="X234" s="6"/>
      <c r="Y234" s="6"/>
      <c r="Z234" s="6"/>
      <c r="AA234" s="6"/>
      <c r="AB234" s="6"/>
      <c r="AC234" s="6"/>
      <c r="AD234" s="6"/>
    </row>
    <row r="235">
      <c r="A235" s="6"/>
      <c r="B235" s="6"/>
      <c r="C235" s="6"/>
      <c r="D235" s="6"/>
      <c r="E235" s="6"/>
      <c r="F235" s="6"/>
      <c r="G235" s="6"/>
      <c r="H235" s="25"/>
      <c r="I235" s="25"/>
      <c r="J235" s="6"/>
      <c r="K235" s="6"/>
      <c r="L235" s="6"/>
      <c r="M235" s="6"/>
      <c r="N235" s="6"/>
      <c r="O235" s="6"/>
      <c r="P235" s="6"/>
      <c r="Q235" s="6"/>
      <c r="R235" s="6"/>
      <c r="S235" s="26"/>
      <c r="T235" s="26"/>
      <c r="U235" s="27"/>
      <c r="V235" s="6"/>
      <c r="W235" s="6"/>
      <c r="X235" s="6"/>
      <c r="Y235" s="6"/>
      <c r="Z235" s="6"/>
      <c r="AA235" s="6"/>
      <c r="AB235" s="6"/>
      <c r="AC235" s="6"/>
      <c r="AD235" s="6"/>
    </row>
    <row r="236">
      <c r="A236" s="6"/>
      <c r="B236" s="6"/>
      <c r="C236" s="6"/>
      <c r="D236" s="6"/>
      <c r="E236" s="6"/>
      <c r="F236" s="6"/>
      <c r="G236" s="6"/>
      <c r="H236" s="25"/>
      <c r="I236" s="25"/>
      <c r="J236" s="6"/>
      <c r="K236" s="6"/>
      <c r="L236" s="6"/>
      <c r="M236" s="6"/>
      <c r="N236" s="6"/>
      <c r="O236" s="6"/>
      <c r="P236" s="6"/>
      <c r="Q236" s="6"/>
      <c r="R236" s="6"/>
      <c r="S236" s="26"/>
      <c r="T236" s="26"/>
      <c r="U236" s="27"/>
      <c r="V236" s="6"/>
      <c r="W236" s="6"/>
      <c r="X236" s="6"/>
      <c r="Y236" s="6"/>
      <c r="Z236" s="6"/>
      <c r="AA236" s="6"/>
      <c r="AB236" s="6"/>
      <c r="AC236" s="6"/>
      <c r="AD236" s="6"/>
    </row>
    <row r="237">
      <c r="A237" s="6"/>
      <c r="B237" s="6"/>
      <c r="C237" s="6"/>
      <c r="D237" s="6"/>
      <c r="E237" s="6"/>
      <c r="F237" s="6"/>
      <c r="G237" s="6"/>
      <c r="H237" s="25"/>
      <c r="I237" s="25"/>
      <c r="J237" s="6"/>
      <c r="K237" s="6"/>
      <c r="L237" s="6"/>
      <c r="M237" s="6"/>
      <c r="N237" s="6"/>
      <c r="O237" s="6"/>
      <c r="P237" s="6"/>
      <c r="Q237" s="6"/>
      <c r="R237" s="6"/>
      <c r="S237" s="26"/>
      <c r="T237" s="26"/>
      <c r="U237" s="27"/>
      <c r="V237" s="6"/>
      <c r="W237" s="6"/>
      <c r="X237" s="6"/>
      <c r="Y237" s="6"/>
      <c r="Z237" s="6"/>
      <c r="AA237" s="6"/>
      <c r="AB237" s="6"/>
      <c r="AC237" s="6"/>
      <c r="AD237" s="6"/>
    </row>
    <row r="238">
      <c r="A238" s="6"/>
      <c r="B238" s="6"/>
      <c r="C238" s="6"/>
      <c r="D238" s="6"/>
      <c r="E238" s="6"/>
      <c r="F238" s="6"/>
      <c r="G238" s="6"/>
      <c r="H238" s="25"/>
      <c r="I238" s="25"/>
      <c r="J238" s="6"/>
      <c r="K238" s="6"/>
      <c r="L238" s="6"/>
      <c r="M238" s="6"/>
      <c r="N238" s="6"/>
      <c r="O238" s="6"/>
      <c r="P238" s="6"/>
      <c r="Q238" s="6"/>
      <c r="R238" s="6"/>
      <c r="S238" s="26"/>
      <c r="T238" s="26"/>
      <c r="U238" s="27"/>
      <c r="V238" s="6"/>
      <c r="W238" s="6"/>
      <c r="X238" s="6"/>
      <c r="Y238" s="6"/>
      <c r="Z238" s="6"/>
      <c r="AA238" s="6"/>
      <c r="AB238" s="6"/>
      <c r="AC238" s="6"/>
      <c r="AD238" s="6"/>
    </row>
    <row r="239">
      <c r="A239" s="6"/>
      <c r="B239" s="6"/>
      <c r="C239" s="6"/>
      <c r="D239" s="6"/>
      <c r="E239" s="6"/>
      <c r="F239" s="6"/>
      <c r="G239" s="6"/>
      <c r="H239" s="25"/>
      <c r="I239" s="25"/>
      <c r="J239" s="6"/>
      <c r="K239" s="6"/>
      <c r="L239" s="6"/>
      <c r="M239" s="6"/>
      <c r="N239" s="6"/>
      <c r="O239" s="6"/>
      <c r="P239" s="6"/>
      <c r="Q239" s="6"/>
      <c r="R239" s="6"/>
      <c r="S239" s="26"/>
      <c r="T239" s="26"/>
      <c r="U239" s="27"/>
      <c r="V239" s="6"/>
      <c r="W239" s="6"/>
      <c r="X239" s="6"/>
      <c r="Y239" s="6"/>
      <c r="Z239" s="6"/>
      <c r="AA239" s="6"/>
      <c r="AB239" s="6"/>
      <c r="AC239" s="6"/>
      <c r="AD239" s="6"/>
    </row>
    <row r="240">
      <c r="A240" s="6"/>
      <c r="B240" s="6"/>
      <c r="C240" s="6"/>
      <c r="D240" s="6"/>
      <c r="E240" s="6"/>
      <c r="F240" s="6"/>
      <c r="G240" s="6"/>
      <c r="H240" s="25"/>
      <c r="I240" s="25"/>
      <c r="J240" s="6"/>
      <c r="K240" s="6"/>
      <c r="L240" s="6"/>
      <c r="M240" s="6"/>
      <c r="N240" s="6"/>
      <c r="O240" s="6"/>
      <c r="P240" s="6"/>
      <c r="Q240" s="6"/>
      <c r="R240" s="6"/>
      <c r="S240" s="26"/>
      <c r="T240" s="26"/>
      <c r="U240" s="27"/>
      <c r="V240" s="6"/>
      <c r="W240" s="6"/>
      <c r="X240" s="6"/>
      <c r="Y240" s="6"/>
      <c r="Z240" s="6"/>
      <c r="AA240" s="6"/>
      <c r="AB240" s="6"/>
      <c r="AC240" s="6"/>
      <c r="AD240" s="6"/>
    </row>
    <row r="241">
      <c r="A241" s="6"/>
      <c r="B241" s="6"/>
      <c r="C241" s="6"/>
      <c r="D241" s="6"/>
      <c r="E241" s="6"/>
      <c r="F241" s="6"/>
      <c r="G241" s="6"/>
      <c r="H241" s="25"/>
      <c r="I241" s="25"/>
      <c r="J241" s="6"/>
      <c r="K241" s="6"/>
      <c r="L241" s="6"/>
      <c r="M241" s="6"/>
      <c r="N241" s="6"/>
      <c r="O241" s="6"/>
      <c r="P241" s="6"/>
      <c r="Q241" s="6"/>
      <c r="R241" s="6"/>
      <c r="S241" s="26"/>
      <c r="T241" s="26"/>
      <c r="U241" s="27"/>
      <c r="V241" s="6"/>
      <c r="W241" s="6"/>
      <c r="X241" s="6"/>
      <c r="Y241" s="6"/>
      <c r="Z241" s="6"/>
      <c r="AA241" s="6"/>
      <c r="AB241" s="6"/>
      <c r="AC241" s="6"/>
      <c r="AD241" s="6"/>
    </row>
    <row r="242">
      <c r="A242" s="6"/>
      <c r="B242" s="6"/>
      <c r="C242" s="6"/>
      <c r="D242" s="6"/>
      <c r="E242" s="6"/>
      <c r="F242" s="6"/>
      <c r="G242" s="6"/>
      <c r="H242" s="25"/>
      <c r="I242" s="25"/>
      <c r="J242" s="6"/>
      <c r="K242" s="6"/>
      <c r="L242" s="6"/>
      <c r="M242" s="6"/>
      <c r="N242" s="6"/>
      <c r="O242" s="6"/>
      <c r="P242" s="6"/>
      <c r="Q242" s="6"/>
      <c r="R242" s="6"/>
      <c r="S242" s="26"/>
      <c r="T242" s="26"/>
      <c r="U242" s="27"/>
      <c r="V242" s="6"/>
      <c r="W242" s="6"/>
      <c r="X242" s="6"/>
      <c r="Y242" s="6"/>
      <c r="Z242" s="6"/>
      <c r="AA242" s="6"/>
      <c r="AB242" s="6"/>
      <c r="AC242" s="6"/>
      <c r="AD242" s="6"/>
    </row>
    <row r="243">
      <c r="A243" s="6"/>
      <c r="B243" s="6"/>
      <c r="C243" s="6"/>
      <c r="D243" s="6"/>
      <c r="E243" s="6"/>
      <c r="F243" s="6"/>
      <c r="G243" s="6"/>
      <c r="H243" s="25"/>
      <c r="I243" s="25"/>
      <c r="J243" s="6"/>
      <c r="K243" s="6"/>
      <c r="L243" s="6"/>
      <c r="M243" s="6"/>
      <c r="N243" s="6"/>
      <c r="O243" s="6"/>
      <c r="P243" s="6"/>
      <c r="Q243" s="6"/>
      <c r="R243" s="6"/>
      <c r="S243" s="26"/>
      <c r="T243" s="26"/>
      <c r="U243" s="27"/>
      <c r="V243" s="6"/>
      <c r="W243" s="6"/>
      <c r="X243" s="6"/>
      <c r="Y243" s="6"/>
      <c r="Z243" s="6"/>
      <c r="AA243" s="6"/>
      <c r="AB243" s="6"/>
      <c r="AC243" s="6"/>
      <c r="AD243" s="6"/>
    </row>
    <row r="244">
      <c r="A244" s="6"/>
      <c r="B244" s="6"/>
      <c r="C244" s="6"/>
      <c r="D244" s="6"/>
      <c r="E244" s="6"/>
      <c r="F244" s="6"/>
      <c r="G244" s="6"/>
      <c r="H244" s="25"/>
      <c r="I244" s="25"/>
      <c r="J244" s="6"/>
      <c r="K244" s="6"/>
      <c r="L244" s="6"/>
      <c r="M244" s="6"/>
      <c r="N244" s="6"/>
      <c r="O244" s="6"/>
      <c r="P244" s="6"/>
      <c r="Q244" s="6"/>
      <c r="R244" s="6"/>
      <c r="S244" s="26"/>
      <c r="T244" s="26"/>
      <c r="U244" s="27"/>
      <c r="V244" s="6"/>
      <c r="W244" s="6"/>
      <c r="X244" s="6"/>
      <c r="Y244" s="6"/>
      <c r="Z244" s="6"/>
      <c r="AA244" s="6"/>
      <c r="AB244" s="6"/>
      <c r="AC244" s="6"/>
      <c r="AD244" s="6"/>
    </row>
    <row r="245">
      <c r="A245" s="6"/>
      <c r="B245" s="6"/>
      <c r="C245" s="6"/>
      <c r="D245" s="6"/>
      <c r="E245" s="6"/>
      <c r="F245" s="6"/>
      <c r="G245" s="6"/>
      <c r="H245" s="25"/>
      <c r="I245" s="25"/>
      <c r="J245" s="6"/>
      <c r="K245" s="6"/>
      <c r="L245" s="6"/>
      <c r="M245" s="6"/>
      <c r="N245" s="6"/>
      <c r="O245" s="6"/>
      <c r="P245" s="6"/>
      <c r="Q245" s="6"/>
      <c r="R245" s="6"/>
      <c r="S245" s="26"/>
      <c r="T245" s="26"/>
      <c r="U245" s="27"/>
      <c r="V245" s="6"/>
      <c r="W245" s="6"/>
      <c r="X245" s="6"/>
      <c r="Y245" s="6"/>
      <c r="Z245" s="6"/>
      <c r="AA245" s="6"/>
      <c r="AB245" s="6"/>
      <c r="AC245" s="6"/>
      <c r="AD245" s="6"/>
    </row>
    <row r="246">
      <c r="A246" s="6"/>
      <c r="B246" s="6"/>
      <c r="C246" s="6"/>
      <c r="D246" s="6"/>
      <c r="E246" s="6"/>
      <c r="F246" s="6"/>
      <c r="G246" s="6"/>
      <c r="H246" s="25"/>
      <c r="I246" s="25"/>
      <c r="J246" s="6"/>
      <c r="K246" s="6"/>
      <c r="L246" s="6"/>
      <c r="M246" s="6"/>
      <c r="N246" s="6"/>
      <c r="O246" s="6"/>
      <c r="P246" s="6"/>
      <c r="Q246" s="6"/>
      <c r="R246" s="6"/>
      <c r="S246" s="26"/>
      <c r="T246" s="26"/>
      <c r="U246" s="27"/>
      <c r="V246" s="6"/>
      <c r="W246" s="6"/>
      <c r="X246" s="6"/>
      <c r="Y246" s="6"/>
      <c r="Z246" s="6"/>
      <c r="AA246" s="6"/>
      <c r="AB246" s="6"/>
      <c r="AC246" s="6"/>
      <c r="AD246" s="6"/>
    </row>
    <row r="247">
      <c r="A247" s="6"/>
      <c r="B247" s="6"/>
      <c r="C247" s="6"/>
      <c r="D247" s="6"/>
      <c r="E247" s="6"/>
      <c r="F247" s="6"/>
      <c r="G247" s="6"/>
      <c r="H247" s="25"/>
      <c r="I247" s="25"/>
      <c r="J247" s="6"/>
      <c r="K247" s="6"/>
      <c r="L247" s="6"/>
      <c r="M247" s="6"/>
      <c r="N247" s="6"/>
      <c r="O247" s="6"/>
      <c r="P247" s="6"/>
      <c r="Q247" s="6"/>
      <c r="R247" s="6"/>
      <c r="S247" s="26"/>
      <c r="T247" s="26"/>
      <c r="U247" s="27"/>
      <c r="V247" s="6"/>
      <c r="W247" s="6"/>
      <c r="X247" s="6"/>
      <c r="Y247" s="6"/>
      <c r="Z247" s="6"/>
      <c r="AA247" s="6"/>
      <c r="AB247" s="6"/>
      <c r="AC247" s="6"/>
      <c r="AD247" s="6"/>
    </row>
    <row r="248">
      <c r="A248" s="6"/>
      <c r="B248" s="6"/>
      <c r="C248" s="6"/>
      <c r="D248" s="6"/>
      <c r="E248" s="6"/>
      <c r="F248" s="6"/>
      <c r="G248" s="6"/>
      <c r="H248" s="25"/>
      <c r="I248" s="25"/>
      <c r="J248" s="6"/>
      <c r="K248" s="6"/>
      <c r="L248" s="6"/>
      <c r="M248" s="6"/>
      <c r="N248" s="6"/>
      <c r="O248" s="6"/>
      <c r="P248" s="6"/>
      <c r="Q248" s="6"/>
      <c r="R248" s="6"/>
      <c r="S248" s="26"/>
      <c r="T248" s="26"/>
      <c r="U248" s="27"/>
      <c r="V248" s="6"/>
      <c r="W248" s="6"/>
      <c r="X248" s="6"/>
      <c r="Y248" s="6"/>
      <c r="Z248" s="6"/>
      <c r="AA248" s="6"/>
      <c r="AB248" s="6"/>
      <c r="AC248" s="6"/>
      <c r="AD248" s="6"/>
    </row>
    <row r="249">
      <c r="A249" s="6"/>
      <c r="B249" s="6"/>
      <c r="C249" s="6"/>
      <c r="D249" s="6"/>
      <c r="E249" s="6"/>
      <c r="F249" s="6"/>
      <c r="G249" s="6"/>
      <c r="H249" s="25"/>
      <c r="I249" s="25"/>
      <c r="J249" s="6"/>
      <c r="K249" s="6"/>
      <c r="L249" s="6"/>
      <c r="M249" s="6"/>
      <c r="N249" s="6"/>
      <c r="O249" s="6"/>
      <c r="P249" s="6"/>
      <c r="Q249" s="6"/>
      <c r="R249" s="6"/>
      <c r="S249" s="26"/>
      <c r="T249" s="26"/>
      <c r="U249" s="27"/>
      <c r="V249" s="6"/>
      <c r="W249" s="6"/>
      <c r="X249" s="6"/>
      <c r="Y249" s="6"/>
      <c r="Z249" s="6"/>
      <c r="AA249" s="6"/>
      <c r="AB249" s="6"/>
      <c r="AC249" s="6"/>
      <c r="AD249" s="6"/>
    </row>
    <row r="250">
      <c r="A250" s="6"/>
      <c r="B250" s="6"/>
      <c r="C250" s="6"/>
      <c r="D250" s="6"/>
      <c r="E250" s="6"/>
      <c r="F250" s="6"/>
      <c r="G250" s="6"/>
      <c r="H250" s="25"/>
      <c r="I250" s="25"/>
      <c r="J250" s="6"/>
      <c r="K250" s="6"/>
      <c r="L250" s="6"/>
      <c r="M250" s="6"/>
      <c r="N250" s="6"/>
      <c r="O250" s="6"/>
      <c r="P250" s="6"/>
      <c r="Q250" s="6"/>
      <c r="R250" s="6"/>
      <c r="S250" s="26"/>
      <c r="T250" s="26"/>
      <c r="U250" s="27"/>
      <c r="V250" s="6"/>
      <c r="W250" s="6"/>
      <c r="X250" s="6"/>
      <c r="Y250" s="6"/>
      <c r="Z250" s="6"/>
      <c r="AA250" s="6"/>
      <c r="AB250" s="6"/>
      <c r="AC250" s="6"/>
      <c r="AD250" s="6"/>
    </row>
    <row r="251">
      <c r="A251" s="6"/>
      <c r="B251" s="6"/>
      <c r="C251" s="6"/>
      <c r="D251" s="6"/>
      <c r="E251" s="6"/>
      <c r="F251" s="6"/>
      <c r="G251" s="6"/>
      <c r="H251" s="25"/>
      <c r="I251" s="25"/>
      <c r="J251" s="6"/>
      <c r="K251" s="6"/>
      <c r="L251" s="6"/>
      <c r="M251" s="6"/>
      <c r="N251" s="6"/>
      <c r="O251" s="6"/>
      <c r="P251" s="6"/>
      <c r="Q251" s="6"/>
      <c r="R251" s="6"/>
      <c r="S251" s="26"/>
      <c r="T251" s="26"/>
      <c r="U251" s="27"/>
      <c r="V251" s="6"/>
      <c r="W251" s="6"/>
      <c r="X251" s="6"/>
      <c r="Y251" s="6"/>
      <c r="Z251" s="6"/>
      <c r="AA251" s="6"/>
      <c r="AB251" s="6"/>
      <c r="AC251" s="6"/>
      <c r="AD251" s="6"/>
    </row>
    <row r="252">
      <c r="A252" s="6"/>
      <c r="B252" s="6"/>
      <c r="C252" s="6"/>
      <c r="D252" s="6"/>
      <c r="E252" s="6"/>
      <c r="F252" s="6"/>
      <c r="G252" s="6"/>
      <c r="H252" s="25"/>
      <c r="I252" s="25"/>
      <c r="J252" s="6"/>
      <c r="K252" s="6"/>
      <c r="L252" s="6"/>
      <c r="M252" s="6"/>
      <c r="N252" s="6"/>
      <c r="O252" s="6"/>
      <c r="P252" s="6"/>
      <c r="Q252" s="6"/>
      <c r="R252" s="6"/>
      <c r="S252" s="26"/>
      <c r="T252" s="26"/>
      <c r="U252" s="27"/>
      <c r="V252" s="6"/>
      <c r="W252" s="6"/>
      <c r="X252" s="6"/>
      <c r="Y252" s="6"/>
      <c r="Z252" s="6"/>
      <c r="AA252" s="6"/>
      <c r="AB252" s="6"/>
      <c r="AC252" s="6"/>
      <c r="AD252" s="6"/>
    </row>
    <row r="253">
      <c r="A253" s="6"/>
      <c r="B253" s="6"/>
      <c r="C253" s="6"/>
      <c r="D253" s="6"/>
      <c r="E253" s="6"/>
      <c r="F253" s="6"/>
      <c r="G253" s="6"/>
      <c r="H253" s="25"/>
      <c r="I253" s="25"/>
      <c r="J253" s="6"/>
      <c r="K253" s="6"/>
      <c r="L253" s="6"/>
      <c r="M253" s="6"/>
      <c r="N253" s="6"/>
      <c r="O253" s="6"/>
      <c r="P253" s="6"/>
      <c r="Q253" s="6"/>
      <c r="R253" s="6"/>
      <c r="S253" s="26"/>
      <c r="T253" s="26"/>
      <c r="U253" s="27"/>
      <c r="V253" s="6"/>
      <c r="W253" s="6"/>
      <c r="X253" s="6"/>
      <c r="Y253" s="6"/>
      <c r="Z253" s="6"/>
      <c r="AA253" s="6"/>
      <c r="AB253" s="6"/>
      <c r="AC253" s="6"/>
      <c r="AD253" s="6"/>
    </row>
    <row r="254">
      <c r="A254" s="6"/>
      <c r="B254" s="6"/>
      <c r="C254" s="6"/>
      <c r="D254" s="6"/>
      <c r="E254" s="6"/>
      <c r="F254" s="6"/>
      <c r="G254" s="6"/>
      <c r="H254" s="25"/>
      <c r="I254" s="25"/>
      <c r="J254" s="6"/>
      <c r="K254" s="6"/>
      <c r="L254" s="6"/>
      <c r="M254" s="6"/>
      <c r="N254" s="6"/>
      <c r="O254" s="6"/>
      <c r="P254" s="6"/>
      <c r="Q254" s="6"/>
      <c r="R254" s="6"/>
      <c r="S254" s="26"/>
      <c r="T254" s="26"/>
      <c r="U254" s="27"/>
      <c r="V254" s="6"/>
      <c r="W254" s="6"/>
      <c r="X254" s="6"/>
      <c r="Y254" s="6"/>
      <c r="Z254" s="6"/>
      <c r="AA254" s="6"/>
      <c r="AB254" s="6"/>
      <c r="AC254" s="6"/>
      <c r="AD254" s="6"/>
    </row>
    <row r="255">
      <c r="A255" s="6"/>
      <c r="B255" s="6"/>
      <c r="C255" s="6"/>
      <c r="D255" s="6"/>
      <c r="E255" s="6"/>
      <c r="F255" s="6"/>
      <c r="G255" s="6"/>
      <c r="H255" s="25"/>
      <c r="I255" s="25"/>
      <c r="J255" s="6"/>
      <c r="K255" s="6"/>
      <c r="L255" s="6"/>
      <c r="M255" s="6"/>
      <c r="N255" s="6"/>
      <c r="O255" s="6"/>
      <c r="P255" s="6"/>
      <c r="Q255" s="6"/>
      <c r="R255" s="6"/>
      <c r="S255" s="26"/>
      <c r="T255" s="26"/>
      <c r="U255" s="27"/>
      <c r="V255" s="6"/>
      <c r="W255" s="6"/>
      <c r="X255" s="6"/>
      <c r="Y255" s="6"/>
      <c r="Z255" s="6"/>
      <c r="AA255" s="6"/>
      <c r="AB255" s="6"/>
      <c r="AC255" s="6"/>
      <c r="AD255" s="6"/>
    </row>
    <row r="256">
      <c r="A256" s="6"/>
      <c r="B256" s="6"/>
      <c r="C256" s="6"/>
      <c r="D256" s="6"/>
      <c r="E256" s="6"/>
      <c r="F256" s="6"/>
      <c r="G256" s="6"/>
      <c r="H256" s="25"/>
      <c r="I256" s="25"/>
      <c r="J256" s="6"/>
      <c r="K256" s="6"/>
      <c r="L256" s="6"/>
      <c r="M256" s="6"/>
      <c r="N256" s="6"/>
      <c r="O256" s="6"/>
      <c r="P256" s="6"/>
      <c r="Q256" s="6"/>
      <c r="R256" s="6"/>
      <c r="S256" s="26"/>
      <c r="T256" s="26"/>
      <c r="U256" s="27"/>
      <c r="V256" s="6"/>
      <c r="W256" s="6"/>
      <c r="X256" s="6"/>
      <c r="Y256" s="6"/>
      <c r="Z256" s="6"/>
      <c r="AA256" s="6"/>
      <c r="AB256" s="6"/>
      <c r="AC256" s="6"/>
      <c r="AD256" s="6"/>
    </row>
    <row r="257">
      <c r="A257" s="6"/>
      <c r="B257" s="6"/>
      <c r="C257" s="6"/>
      <c r="D257" s="6"/>
      <c r="E257" s="6"/>
      <c r="F257" s="6"/>
      <c r="G257" s="6"/>
      <c r="H257" s="25"/>
      <c r="I257" s="25"/>
      <c r="J257" s="6"/>
      <c r="K257" s="6"/>
      <c r="L257" s="6"/>
      <c r="M257" s="6"/>
      <c r="N257" s="6"/>
      <c r="O257" s="6"/>
      <c r="P257" s="6"/>
      <c r="Q257" s="6"/>
      <c r="R257" s="6"/>
      <c r="S257" s="26"/>
      <c r="T257" s="26"/>
      <c r="U257" s="27"/>
      <c r="V257" s="6"/>
      <c r="W257" s="6"/>
      <c r="X257" s="6"/>
      <c r="Y257" s="6"/>
      <c r="Z257" s="6"/>
      <c r="AA257" s="6"/>
      <c r="AB257" s="6"/>
      <c r="AC257" s="6"/>
      <c r="AD257" s="6"/>
    </row>
    <row r="258">
      <c r="A258" s="6"/>
      <c r="B258" s="6"/>
      <c r="C258" s="6"/>
      <c r="D258" s="6"/>
      <c r="E258" s="6"/>
      <c r="F258" s="6"/>
      <c r="G258" s="6"/>
      <c r="H258" s="25"/>
      <c r="I258" s="25"/>
      <c r="J258" s="6"/>
      <c r="K258" s="6"/>
      <c r="L258" s="6"/>
      <c r="M258" s="6"/>
      <c r="N258" s="6"/>
      <c r="O258" s="6"/>
      <c r="P258" s="6"/>
      <c r="Q258" s="6"/>
      <c r="R258" s="6"/>
      <c r="S258" s="26"/>
      <c r="T258" s="26"/>
      <c r="U258" s="27"/>
      <c r="V258" s="6"/>
      <c r="W258" s="6"/>
      <c r="X258" s="6"/>
      <c r="Y258" s="6"/>
      <c r="Z258" s="6"/>
      <c r="AA258" s="6"/>
      <c r="AB258" s="6"/>
      <c r="AC258" s="6"/>
      <c r="AD258" s="6"/>
    </row>
    <row r="259">
      <c r="A259" s="6"/>
      <c r="B259" s="6"/>
      <c r="C259" s="6"/>
      <c r="D259" s="6"/>
      <c r="E259" s="6"/>
      <c r="F259" s="6"/>
      <c r="G259" s="6"/>
      <c r="H259" s="25"/>
      <c r="I259" s="25"/>
      <c r="J259" s="6"/>
      <c r="K259" s="6"/>
      <c r="L259" s="6"/>
      <c r="M259" s="6"/>
      <c r="N259" s="6"/>
      <c r="O259" s="6"/>
      <c r="P259" s="6"/>
      <c r="Q259" s="6"/>
      <c r="R259" s="6"/>
      <c r="S259" s="26"/>
      <c r="T259" s="26"/>
      <c r="U259" s="27"/>
      <c r="V259" s="6"/>
      <c r="W259" s="6"/>
      <c r="X259" s="6"/>
      <c r="Y259" s="6"/>
      <c r="Z259" s="6"/>
      <c r="AA259" s="6"/>
      <c r="AB259" s="6"/>
      <c r="AC259" s="6"/>
      <c r="AD259" s="6"/>
    </row>
    <row r="260">
      <c r="A260" s="6"/>
      <c r="B260" s="6"/>
      <c r="C260" s="6"/>
      <c r="D260" s="6"/>
      <c r="E260" s="6"/>
      <c r="F260" s="6"/>
      <c r="G260" s="6"/>
      <c r="H260" s="25"/>
      <c r="I260" s="25"/>
      <c r="J260" s="6"/>
      <c r="K260" s="6"/>
      <c r="L260" s="6"/>
      <c r="M260" s="6"/>
      <c r="N260" s="6"/>
      <c r="O260" s="6"/>
      <c r="P260" s="6"/>
      <c r="Q260" s="6"/>
      <c r="R260" s="6"/>
      <c r="S260" s="26"/>
      <c r="T260" s="26"/>
      <c r="U260" s="27"/>
      <c r="V260" s="6"/>
      <c r="W260" s="6"/>
      <c r="X260" s="6"/>
      <c r="Y260" s="6"/>
      <c r="Z260" s="6"/>
      <c r="AA260" s="6"/>
      <c r="AB260" s="6"/>
      <c r="AC260" s="6"/>
      <c r="AD260" s="6"/>
    </row>
    <row r="261">
      <c r="A261" s="6"/>
      <c r="B261" s="6"/>
      <c r="C261" s="6"/>
      <c r="D261" s="6"/>
      <c r="E261" s="6"/>
      <c r="F261" s="6"/>
      <c r="G261" s="6"/>
      <c r="H261" s="25"/>
      <c r="I261" s="25"/>
      <c r="J261" s="6"/>
      <c r="K261" s="6"/>
      <c r="L261" s="6"/>
      <c r="M261" s="6"/>
      <c r="N261" s="6"/>
      <c r="O261" s="6"/>
      <c r="P261" s="6"/>
      <c r="Q261" s="6"/>
      <c r="R261" s="6"/>
      <c r="S261" s="26"/>
      <c r="T261" s="26"/>
      <c r="U261" s="27"/>
      <c r="V261" s="6"/>
      <c r="W261" s="6"/>
      <c r="X261" s="6"/>
      <c r="Y261" s="6"/>
      <c r="Z261" s="6"/>
      <c r="AA261" s="6"/>
      <c r="AB261" s="6"/>
      <c r="AC261" s="6"/>
      <c r="AD261" s="6"/>
    </row>
    <row r="262">
      <c r="A262" s="6"/>
      <c r="B262" s="6"/>
      <c r="C262" s="6"/>
      <c r="D262" s="6"/>
      <c r="E262" s="6"/>
      <c r="F262" s="6"/>
      <c r="G262" s="6"/>
      <c r="H262" s="25"/>
      <c r="I262" s="25"/>
      <c r="J262" s="6"/>
      <c r="K262" s="6"/>
      <c r="L262" s="6"/>
      <c r="M262" s="6"/>
      <c r="N262" s="6"/>
      <c r="O262" s="6"/>
      <c r="P262" s="6"/>
      <c r="Q262" s="6"/>
      <c r="R262" s="6"/>
      <c r="S262" s="26"/>
      <c r="T262" s="26"/>
      <c r="U262" s="27"/>
      <c r="V262" s="6"/>
      <c r="W262" s="6"/>
      <c r="X262" s="6"/>
      <c r="Y262" s="6"/>
      <c r="Z262" s="6"/>
      <c r="AA262" s="6"/>
      <c r="AB262" s="6"/>
      <c r="AC262" s="6"/>
      <c r="AD262" s="6"/>
    </row>
    <row r="263">
      <c r="A263" s="6"/>
      <c r="B263" s="6"/>
      <c r="C263" s="6"/>
      <c r="D263" s="6"/>
      <c r="E263" s="6"/>
      <c r="F263" s="6"/>
      <c r="G263" s="6"/>
      <c r="H263" s="25"/>
      <c r="I263" s="25"/>
      <c r="J263" s="6"/>
      <c r="K263" s="6"/>
      <c r="L263" s="6"/>
      <c r="M263" s="6"/>
      <c r="N263" s="6"/>
      <c r="O263" s="6"/>
      <c r="P263" s="6"/>
      <c r="Q263" s="6"/>
      <c r="R263" s="6"/>
      <c r="S263" s="26"/>
      <c r="T263" s="26"/>
      <c r="U263" s="27"/>
      <c r="V263" s="6"/>
      <c r="W263" s="6"/>
      <c r="X263" s="6"/>
      <c r="Y263" s="6"/>
      <c r="Z263" s="6"/>
      <c r="AA263" s="6"/>
      <c r="AB263" s="6"/>
      <c r="AC263" s="6"/>
      <c r="AD263" s="6"/>
    </row>
    <row r="264">
      <c r="A264" s="6"/>
      <c r="B264" s="6"/>
      <c r="C264" s="6"/>
      <c r="D264" s="6"/>
      <c r="E264" s="6"/>
      <c r="F264" s="6"/>
      <c r="G264" s="6"/>
      <c r="H264" s="25"/>
      <c r="I264" s="25"/>
      <c r="J264" s="6"/>
      <c r="K264" s="6"/>
      <c r="L264" s="6"/>
      <c r="M264" s="6"/>
      <c r="N264" s="6"/>
      <c r="O264" s="6"/>
      <c r="P264" s="6"/>
      <c r="Q264" s="6"/>
      <c r="R264" s="6"/>
      <c r="S264" s="26"/>
      <c r="T264" s="26"/>
      <c r="U264" s="27"/>
      <c r="V264" s="6"/>
      <c r="W264" s="6"/>
      <c r="X264" s="6"/>
      <c r="Y264" s="6"/>
      <c r="Z264" s="6"/>
      <c r="AA264" s="6"/>
      <c r="AB264" s="6"/>
      <c r="AC264" s="6"/>
      <c r="AD264" s="6"/>
    </row>
    <row r="265">
      <c r="A265" s="6"/>
      <c r="B265" s="6"/>
      <c r="C265" s="6"/>
      <c r="D265" s="6"/>
      <c r="E265" s="6"/>
      <c r="F265" s="6"/>
      <c r="G265" s="6"/>
      <c r="H265" s="25"/>
      <c r="I265" s="25"/>
      <c r="J265" s="6"/>
      <c r="K265" s="6"/>
      <c r="L265" s="6"/>
      <c r="M265" s="6"/>
      <c r="N265" s="6"/>
      <c r="O265" s="6"/>
      <c r="P265" s="6"/>
      <c r="Q265" s="6"/>
      <c r="R265" s="6"/>
      <c r="S265" s="26"/>
      <c r="T265" s="26"/>
      <c r="U265" s="27"/>
      <c r="V265" s="6"/>
      <c r="W265" s="6"/>
      <c r="X265" s="6"/>
      <c r="Y265" s="6"/>
      <c r="Z265" s="6"/>
      <c r="AA265" s="6"/>
      <c r="AB265" s="6"/>
      <c r="AC265" s="6"/>
      <c r="AD265" s="6"/>
    </row>
    <row r="266">
      <c r="A266" s="6"/>
      <c r="B266" s="6"/>
      <c r="C266" s="6"/>
      <c r="D266" s="6"/>
      <c r="E266" s="6"/>
      <c r="F266" s="6"/>
      <c r="G266" s="6"/>
      <c r="H266" s="25"/>
      <c r="I266" s="25"/>
      <c r="J266" s="6"/>
      <c r="K266" s="6"/>
      <c r="L266" s="6"/>
      <c r="M266" s="6"/>
      <c r="N266" s="6"/>
      <c r="O266" s="6"/>
      <c r="P266" s="6"/>
      <c r="Q266" s="6"/>
      <c r="R266" s="6"/>
      <c r="S266" s="26"/>
      <c r="T266" s="26"/>
      <c r="U266" s="27"/>
      <c r="V266" s="6"/>
      <c r="W266" s="6"/>
      <c r="X266" s="6"/>
      <c r="Y266" s="6"/>
      <c r="Z266" s="6"/>
      <c r="AA266" s="6"/>
      <c r="AB266" s="6"/>
      <c r="AC266" s="6"/>
      <c r="AD266" s="6"/>
    </row>
    <row r="267">
      <c r="A267" s="6"/>
      <c r="B267" s="6"/>
      <c r="C267" s="6"/>
      <c r="D267" s="6"/>
      <c r="E267" s="6"/>
      <c r="F267" s="6"/>
      <c r="G267" s="6"/>
      <c r="H267" s="25"/>
      <c r="I267" s="25"/>
      <c r="J267" s="6"/>
      <c r="K267" s="6"/>
      <c r="L267" s="6"/>
      <c r="M267" s="6"/>
      <c r="N267" s="6"/>
      <c r="O267" s="6"/>
      <c r="P267" s="6"/>
      <c r="Q267" s="6"/>
      <c r="R267" s="6"/>
      <c r="S267" s="26"/>
      <c r="T267" s="26"/>
      <c r="U267" s="27"/>
      <c r="V267" s="6"/>
      <c r="W267" s="6"/>
      <c r="X267" s="6"/>
      <c r="Y267" s="6"/>
      <c r="Z267" s="6"/>
      <c r="AA267" s="6"/>
      <c r="AB267" s="6"/>
      <c r="AC267" s="6"/>
      <c r="AD267" s="6"/>
    </row>
    <row r="268">
      <c r="A268" s="6"/>
      <c r="B268" s="6"/>
      <c r="C268" s="6"/>
      <c r="D268" s="6"/>
      <c r="E268" s="6"/>
      <c r="F268" s="6"/>
      <c r="G268" s="6"/>
      <c r="H268" s="25"/>
      <c r="I268" s="25"/>
      <c r="J268" s="6"/>
      <c r="K268" s="6"/>
      <c r="L268" s="6"/>
      <c r="M268" s="6"/>
      <c r="N268" s="6"/>
      <c r="O268" s="6"/>
      <c r="P268" s="6"/>
      <c r="Q268" s="6"/>
      <c r="R268" s="6"/>
      <c r="S268" s="26"/>
      <c r="T268" s="26"/>
      <c r="U268" s="27"/>
      <c r="V268" s="6"/>
      <c r="W268" s="6"/>
      <c r="X268" s="6"/>
      <c r="Y268" s="6"/>
      <c r="Z268" s="6"/>
      <c r="AA268" s="6"/>
      <c r="AB268" s="6"/>
      <c r="AC268" s="6"/>
      <c r="AD268" s="6"/>
    </row>
    <row r="269">
      <c r="A269" s="6"/>
      <c r="B269" s="6"/>
      <c r="C269" s="6"/>
      <c r="D269" s="6"/>
      <c r="E269" s="6"/>
      <c r="F269" s="6"/>
      <c r="G269" s="6"/>
      <c r="H269" s="25"/>
      <c r="I269" s="25"/>
      <c r="J269" s="6"/>
      <c r="K269" s="6"/>
      <c r="L269" s="6"/>
      <c r="M269" s="6"/>
      <c r="N269" s="6"/>
      <c r="O269" s="6"/>
      <c r="P269" s="6"/>
      <c r="Q269" s="6"/>
      <c r="R269" s="6"/>
      <c r="S269" s="26"/>
      <c r="T269" s="26"/>
      <c r="U269" s="27"/>
      <c r="V269" s="6"/>
      <c r="W269" s="6"/>
      <c r="X269" s="6"/>
      <c r="Y269" s="6"/>
      <c r="Z269" s="6"/>
      <c r="AA269" s="6"/>
      <c r="AB269" s="6"/>
      <c r="AC269" s="6"/>
      <c r="AD269" s="6"/>
    </row>
    <row r="270">
      <c r="A270" s="6"/>
      <c r="B270" s="6"/>
      <c r="C270" s="6"/>
      <c r="D270" s="6"/>
      <c r="E270" s="6"/>
      <c r="F270" s="6"/>
      <c r="G270" s="6"/>
      <c r="H270" s="25"/>
      <c r="I270" s="25"/>
      <c r="J270" s="6"/>
      <c r="K270" s="6"/>
      <c r="L270" s="6"/>
      <c r="M270" s="6"/>
      <c r="N270" s="6"/>
      <c r="O270" s="6"/>
      <c r="P270" s="6"/>
      <c r="Q270" s="6"/>
      <c r="R270" s="6"/>
      <c r="S270" s="26"/>
      <c r="T270" s="26"/>
      <c r="U270" s="27"/>
      <c r="V270" s="6"/>
      <c r="W270" s="6"/>
      <c r="X270" s="6"/>
      <c r="Y270" s="6"/>
      <c r="Z270" s="6"/>
      <c r="AA270" s="6"/>
      <c r="AB270" s="6"/>
      <c r="AC270" s="6"/>
      <c r="AD270" s="6"/>
    </row>
    <row r="271">
      <c r="A271" s="6"/>
      <c r="B271" s="6"/>
      <c r="C271" s="6"/>
      <c r="D271" s="6"/>
      <c r="E271" s="6"/>
      <c r="F271" s="6"/>
      <c r="G271" s="6"/>
      <c r="H271" s="25"/>
      <c r="I271" s="25"/>
      <c r="J271" s="6"/>
      <c r="K271" s="6"/>
      <c r="L271" s="6"/>
      <c r="M271" s="6"/>
      <c r="N271" s="6"/>
      <c r="O271" s="6"/>
      <c r="P271" s="6"/>
      <c r="Q271" s="6"/>
      <c r="R271" s="6"/>
      <c r="S271" s="26"/>
      <c r="T271" s="26"/>
      <c r="U271" s="27"/>
      <c r="V271" s="6"/>
      <c r="W271" s="6"/>
      <c r="X271" s="6"/>
      <c r="Y271" s="6"/>
      <c r="Z271" s="6"/>
      <c r="AA271" s="6"/>
      <c r="AB271" s="6"/>
      <c r="AC271" s="6"/>
      <c r="AD271" s="6"/>
    </row>
    <row r="272">
      <c r="A272" s="6"/>
      <c r="B272" s="6"/>
      <c r="C272" s="6"/>
      <c r="D272" s="6"/>
      <c r="E272" s="6"/>
      <c r="F272" s="6"/>
      <c r="G272" s="6"/>
      <c r="H272" s="25"/>
      <c r="I272" s="25"/>
      <c r="J272" s="6"/>
      <c r="K272" s="6"/>
      <c r="L272" s="6"/>
      <c r="M272" s="6"/>
      <c r="N272" s="6"/>
      <c r="O272" s="6"/>
      <c r="P272" s="6"/>
      <c r="Q272" s="6"/>
      <c r="R272" s="6"/>
      <c r="S272" s="26"/>
      <c r="T272" s="26"/>
      <c r="U272" s="27"/>
      <c r="V272" s="6"/>
      <c r="W272" s="6"/>
      <c r="X272" s="6"/>
      <c r="Y272" s="6"/>
      <c r="Z272" s="6"/>
      <c r="AA272" s="6"/>
      <c r="AB272" s="6"/>
      <c r="AC272" s="6"/>
      <c r="AD272" s="6"/>
    </row>
    <row r="273">
      <c r="A273" s="6"/>
      <c r="B273" s="6"/>
      <c r="C273" s="6"/>
      <c r="D273" s="6"/>
      <c r="E273" s="6"/>
      <c r="F273" s="6"/>
      <c r="G273" s="6"/>
      <c r="H273" s="25"/>
      <c r="I273" s="25"/>
      <c r="J273" s="6"/>
      <c r="K273" s="6"/>
      <c r="L273" s="6"/>
      <c r="M273" s="6"/>
      <c r="N273" s="6"/>
      <c r="O273" s="6"/>
      <c r="P273" s="6"/>
      <c r="Q273" s="6"/>
      <c r="R273" s="6"/>
      <c r="S273" s="26"/>
      <c r="T273" s="26"/>
      <c r="U273" s="27"/>
      <c r="V273" s="6"/>
      <c r="W273" s="6"/>
      <c r="X273" s="6"/>
      <c r="Y273" s="6"/>
      <c r="Z273" s="6"/>
      <c r="AA273" s="6"/>
      <c r="AB273" s="6"/>
      <c r="AC273" s="6"/>
      <c r="AD273" s="6"/>
    </row>
    <row r="274">
      <c r="A274" s="6"/>
      <c r="B274" s="6"/>
      <c r="C274" s="6"/>
      <c r="D274" s="6"/>
      <c r="E274" s="6"/>
      <c r="F274" s="6"/>
      <c r="G274" s="6"/>
      <c r="H274" s="25"/>
      <c r="I274" s="25"/>
      <c r="J274" s="6"/>
      <c r="K274" s="6"/>
      <c r="L274" s="6"/>
      <c r="M274" s="6"/>
      <c r="N274" s="6"/>
      <c r="O274" s="6"/>
      <c r="P274" s="6"/>
      <c r="Q274" s="6"/>
      <c r="R274" s="6"/>
      <c r="S274" s="26"/>
      <c r="T274" s="26"/>
      <c r="U274" s="27"/>
      <c r="V274" s="6"/>
      <c r="W274" s="6"/>
      <c r="X274" s="6"/>
      <c r="Y274" s="6"/>
      <c r="Z274" s="6"/>
      <c r="AA274" s="6"/>
      <c r="AB274" s="6"/>
      <c r="AC274" s="6"/>
      <c r="AD274" s="6"/>
    </row>
    <row r="275">
      <c r="A275" s="6"/>
      <c r="B275" s="6"/>
      <c r="C275" s="6"/>
      <c r="D275" s="6"/>
      <c r="E275" s="6"/>
      <c r="F275" s="6"/>
      <c r="G275" s="6"/>
      <c r="H275" s="25"/>
      <c r="I275" s="25"/>
      <c r="J275" s="6"/>
      <c r="K275" s="6"/>
      <c r="L275" s="6"/>
      <c r="M275" s="6"/>
      <c r="N275" s="6"/>
      <c r="O275" s="6"/>
      <c r="P275" s="6"/>
      <c r="Q275" s="6"/>
      <c r="R275" s="6"/>
      <c r="S275" s="26"/>
      <c r="T275" s="26"/>
      <c r="U275" s="27"/>
      <c r="V275" s="6"/>
      <c r="W275" s="6"/>
      <c r="X275" s="6"/>
      <c r="Y275" s="6"/>
      <c r="Z275" s="6"/>
      <c r="AA275" s="6"/>
      <c r="AB275" s="6"/>
      <c r="AC275" s="6"/>
      <c r="AD275" s="6"/>
    </row>
    <row r="276">
      <c r="A276" s="6"/>
      <c r="B276" s="6"/>
      <c r="C276" s="6"/>
      <c r="D276" s="6"/>
      <c r="E276" s="6"/>
      <c r="F276" s="6"/>
      <c r="G276" s="6"/>
      <c r="H276" s="25"/>
      <c r="I276" s="25"/>
      <c r="J276" s="6"/>
      <c r="K276" s="6"/>
      <c r="L276" s="6"/>
      <c r="M276" s="6"/>
      <c r="N276" s="6"/>
      <c r="O276" s="6"/>
      <c r="P276" s="6"/>
      <c r="Q276" s="6"/>
      <c r="R276" s="6"/>
      <c r="S276" s="26"/>
      <c r="T276" s="26"/>
      <c r="U276" s="27"/>
      <c r="V276" s="6"/>
      <c r="W276" s="6"/>
      <c r="X276" s="6"/>
      <c r="Y276" s="6"/>
      <c r="Z276" s="6"/>
      <c r="AA276" s="6"/>
      <c r="AB276" s="6"/>
      <c r="AC276" s="6"/>
      <c r="AD276" s="6"/>
    </row>
    <row r="277">
      <c r="A277" s="6"/>
      <c r="B277" s="6"/>
      <c r="C277" s="6"/>
      <c r="D277" s="6"/>
      <c r="E277" s="6"/>
      <c r="F277" s="6"/>
      <c r="G277" s="6"/>
      <c r="H277" s="25"/>
      <c r="I277" s="25"/>
      <c r="J277" s="6"/>
      <c r="K277" s="6"/>
      <c r="L277" s="6"/>
      <c r="M277" s="6"/>
      <c r="N277" s="6"/>
      <c r="O277" s="6"/>
      <c r="P277" s="6"/>
      <c r="Q277" s="6"/>
      <c r="R277" s="6"/>
      <c r="S277" s="26"/>
      <c r="T277" s="26"/>
      <c r="U277" s="27"/>
      <c r="V277" s="6"/>
      <c r="W277" s="6"/>
      <c r="X277" s="6"/>
      <c r="Y277" s="6"/>
      <c r="Z277" s="6"/>
      <c r="AA277" s="6"/>
      <c r="AB277" s="6"/>
      <c r="AC277" s="6"/>
      <c r="AD277" s="6"/>
    </row>
    <row r="278">
      <c r="A278" s="6"/>
      <c r="B278" s="6"/>
      <c r="C278" s="6"/>
      <c r="D278" s="6"/>
      <c r="E278" s="6"/>
      <c r="F278" s="6"/>
      <c r="G278" s="6"/>
      <c r="H278" s="25"/>
      <c r="I278" s="25"/>
      <c r="J278" s="6"/>
      <c r="K278" s="6"/>
      <c r="L278" s="6"/>
      <c r="M278" s="6"/>
      <c r="N278" s="6"/>
      <c r="O278" s="6"/>
      <c r="P278" s="6"/>
      <c r="Q278" s="6"/>
      <c r="R278" s="6"/>
      <c r="S278" s="26"/>
      <c r="T278" s="26"/>
      <c r="U278" s="27"/>
      <c r="V278" s="6"/>
      <c r="W278" s="6"/>
      <c r="X278" s="6"/>
      <c r="Y278" s="6"/>
      <c r="Z278" s="6"/>
      <c r="AA278" s="6"/>
      <c r="AB278" s="6"/>
      <c r="AC278" s="6"/>
      <c r="AD278" s="6"/>
    </row>
    <row r="279">
      <c r="A279" s="6"/>
      <c r="B279" s="6"/>
      <c r="C279" s="6"/>
      <c r="D279" s="6"/>
      <c r="E279" s="6"/>
      <c r="F279" s="6"/>
      <c r="G279" s="6"/>
      <c r="H279" s="25"/>
      <c r="I279" s="25"/>
      <c r="J279" s="6"/>
      <c r="K279" s="6"/>
      <c r="L279" s="6"/>
      <c r="M279" s="6"/>
      <c r="N279" s="6"/>
      <c r="O279" s="6"/>
      <c r="P279" s="6"/>
      <c r="Q279" s="6"/>
      <c r="R279" s="6"/>
      <c r="S279" s="26"/>
      <c r="T279" s="26"/>
      <c r="U279" s="27"/>
      <c r="V279" s="6"/>
      <c r="W279" s="6"/>
      <c r="X279" s="6"/>
      <c r="Y279" s="6"/>
      <c r="Z279" s="6"/>
      <c r="AA279" s="6"/>
      <c r="AB279" s="6"/>
      <c r="AC279" s="6"/>
      <c r="AD279" s="6"/>
    </row>
    <row r="280">
      <c r="A280" s="6"/>
      <c r="B280" s="6"/>
      <c r="C280" s="6"/>
      <c r="D280" s="6"/>
      <c r="E280" s="6"/>
      <c r="F280" s="6"/>
      <c r="G280" s="6"/>
      <c r="H280" s="25"/>
      <c r="I280" s="25"/>
      <c r="J280" s="6"/>
      <c r="K280" s="6"/>
      <c r="L280" s="6"/>
      <c r="M280" s="6"/>
      <c r="N280" s="6"/>
      <c r="O280" s="6"/>
      <c r="P280" s="6"/>
      <c r="Q280" s="6"/>
      <c r="R280" s="6"/>
      <c r="S280" s="26"/>
      <c r="T280" s="26"/>
      <c r="U280" s="27"/>
      <c r="V280" s="6"/>
      <c r="W280" s="6"/>
      <c r="X280" s="6"/>
      <c r="Y280" s="6"/>
      <c r="Z280" s="6"/>
      <c r="AA280" s="6"/>
      <c r="AB280" s="6"/>
      <c r="AC280" s="6"/>
      <c r="AD280" s="6"/>
    </row>
    <row r="281">
      <c r="A281" s="6"/>
      <c r="B281" s="6"/>
      <c r="C281" s="6"/>
      <c r="D281" s="6"/>
      <c r="E281" s="6"/>
      <c r="F281" s="6"/>
      <c r="G281" s="6"/>
      <c r="H281" s="25"/>
      <c r="I281" s="25"/>
      <c r="J281" s="6"/>
      <c r="K281" s="6"/>
      <c r="L281" s="6"/>
      <c r="M281" s="6"/>
      <c r="N281" s="6"/>
      <c r="O281" s="6"/>
      <c r="P281" s="6"/>
      <c r="Q281" s="6"/>
      <c r="R281" s="6"/>
      <c r="S281" s="26"/>
      <c r="T281" s="26"/>
      <c r="U281" s="27"/>
      <c r="V281" s="6"/>
      <c r="W281" s="6"/>
      <c r="X281" s="6"/>
      <c r="Y281" s="6"/>
      <c r="Z281" s="6"/>
      <c r="AA281" s="6"/>
      <c r="AB281" s="6"/>
      <c r="AC281" s="6"/>
      <c r="AD281" s="6"/>
    </row>
    <row r="282">
      <c r="A282" s="6"/>
      <c r="B282" s="6"/>
      <c r="C282" s="6"/>
      <c r="D282" s="6"/>
      <c r="E282" s="6"/>
      <c r="F282" s="6"/>
      <c r="G282" s="6"/>
      <c r="H282" s="25"/>
      <c r="I282" s="25"/>
      <c r="J282" s="6"/>
      <c r="K282" s="6"/>
      <c r="L282" s="6"/>
      <c r="M282" s="6"/>
      <c r="N282" s="6"/>
      <c r="O282" s="6"/>
      <c r="P282" s="6"/>
      <c r="Q282" s="6"/>
      <c r="R282" s="6"/>
      <c r="S282" s="26"/>
      <c r="T282" s="26"/>
      <c r="U282" s="27"/>
      <c r="V282" s="6"/>
      <c r="W282" s="6"/>
      <c r="X282" s="6"/>
      <c r="Y282" s="6"/>
      <c r="Z282" s="6"/>
      <c r="AA282" s="6"/>
      <c r="AB282" s="6"/>
      <c r="AC282" s="6"/>
      <c r="AD282" s="6"/>
    </row>
    <row r="283">
      <c r="A283" s="6"/>
      <c r="B283" s="6"/>
      <c r="C283" s="6"/>
      <c r="D283" s="6"/>
      <c r="E283" s="6"/>
      <c r="F283" s="6"/>
      <c r="G283" s="6"/>
      <c r="H283" s="25"/>
      <c r="I283" s="25"/>
      <c r="J283" s="6"/>
      <c r="K283" s="6"/>
      <c r="L283" s="6"/>
      <c r="M283" s="6"/>
      <c r="N283" s="6"/>
      <c r="O283" s="6"/>
      <c r="P283" s="6"/>
      <c r="Q283" s="6"/>
      <c r="R283" s="6"/>
      <c r="S283" s="26"/>
      <c r="T283" s="26"/>
      <c r="U283" s="27"/>
      <c r="V283" s="6"/>
      <c r="W283" s="6"/>
      <c r="X283" s="6"/>
      <c r="Y283" s="6"/>
      <c r="Z283" s="6"/>
      <c r="AA283" s="6"/>
      <c r="AB283" s="6"/>
      <c r="AC283" s="6"/>
      <c r="AD283" s="6"/>
    </row>
    <row r="284">
      <c r="A284" s="6"/>
      <c r="B284" s="6"/>
      <c r="C284" s="6"/>
      <c r="D284" s="6"/>
      <c r="E284" s="6"/>
      <c r="F284" s="6"/>
      <c r="G284" s="6"/>
      <c r="H284" s="25"/>
      <c r="I284" s="25"/>
      <c r="J284" s="6"/>
      <c r="K284" s="6"/>
      <c r="L284" s="6"/>
      <c r="M284" s="6"/>
      <c r="N284" s="6"/>
      <c r="O284" s="6"/>
      <c r="P284" s="6"/>
      <c r="Q284" s="6"/>
      <c r="R284" s="6"/>
      <c r="S284" s="26"/>
      <c r="T284" s="26"/>
      <c r="U284" s="27"/>
      <c r="V284" s="6"/>
      <c r="W284" s="6"/>
      <c r="X284" s="6"/>
      <c r="Y284" s="6"/>
      <c r="Z284" s="6"/>
      <c r="AA284" s="6"/>
      <c r="AB284" s="6"/>
      <c r="AC284" s="6"/>
      <c r="AD284" s="6"/>
    </row>
    <row r="285">
      <c r="A285" s="6"/>
      <c r="B285" s="6"/>
      <c r="C285" s="6"/>
      <c r="D285" s="6"/>
      <c r="E285" s="6"/>
      <c r="F285" s="6"/>
      <c r="G285" s="6"/>
      <c r="H285" s="25"/>
      <c r="I285" s="25"/>
      <c r="J285" s="6"/>
      <c r="K285" s="6"/>
      <c r="L285" s="6"/>
      <c r="M285" s="6"/>
      <c r="N285" s="6"/>
      <c r="O285" s="6"/>
      <c r="P285" s="6"/>
      <c r="Q285" s="6"/>
      <c r="R285" s="6"/>
      <c r="S285" s="26"/>
      <c r="T285" s="26"/>
      <c r="U285" s="27"/>
      <c r="V285" s="6"/>
      <c r="W285" s="6"/>
      <c r="X285" s="6"/>
      <c r="Y285" s="6"/>
      <c r="Z285" s="6"/>
      <c r="AA285" s="6"/>
      <c r="AB285" s="6"/>
      <c r="AC285" s="6"/>
      <c r="AD285" s="6"/>
    </row>
    <row r="286">
      <c r="A286" s="6"/>
      <c r="B286" s="6"/>
      <c r="C286" s="6"/>
      <c r="D286" s="6"/>
      <c r="E286" s="6"/>
      <c r="F286" s="6"/>
      <c r="G286" s="6"/>
      <c r="H286" s="25"/>
      <c r="I286" s="25"/>
      <c r="J286" s="6"/>
      <c r="K286" s="6"/>
      <c r="L286" s="6"/>
      <c r="M286" s="6"/>
      <c r="N286" s="6"/>
      <c r="O286" s="6"/>
      <c r="P286" s="6"/>
      <c r="Q286" s="6"/>
      <c r="R286" s="6"/>
      <c r="S286" s="26"/>
      <c r="T286" s="26"/>
      <c r="U286" s="27"/>
      <c r="V286" s="6"/>
      <c r="W286" s="6"/>
      <c r="X286" s="6"/>
      <c r="Y286" s="6"/>
      <c r="Z286" s="6"/>
      <c r="AA286" s="6"/>
      <c r="AB286" s="6"/>
      <c r="AC286" s="6"/>
      <c r="AD286" s="6"/>
    </row>
    <row r="287">
      <c r="A287" s="6"/>
      <c r="B287" s="6"/>
      <c r="C287" s="6"/>
      <c r="D287" s="6"/>
      <c r="E287" s="6"/>
      <c r="F287" s="6"/>
      <c r="G287" s="6"/>
      <c r="H287" s="25"/>
      <c r="I287" s="25"/>
      <c r="J287" s="6"/>
      <c r="K287" s="6"/>
      <c r="L287" s="6"/>
      <c r="M287" s="6"/>
      <c r="N287" s="6"/>
      <c r="O287" s="6"/>
      <c r="P287" s="6"/>
      <c r="Q287" s="6"/>
      <c r="R287" s="6"/>
      <c r="S287" s="26"/>
      <c r="T287" s="26"/>
      <c r="U287" s="27"/>
      <c r="V287" s="6"/>
      <c r="W287" s="6"/>
      <c r="X287" s="6"/>
      <c r="Y287" s="6"/>
      <c r="Z287" s="6"/>
      <c r="AA287" s="6"/>
      <c r="AB287" s="6"/>
      <c r="AC287" s="6"/>
      <c r="AD287" s="6"/>
    </row>
    <row r="288">
      <c r="A288" s="6"/>
      <c r="B288" s="6"/>
      <c r="C288" s="6"/>
      <c r="D288" s="6"/>
      <c r="E288" s="6"/>
      <c r="F288" s="6"/>
      <c r="G288" s="6"/>
      <c r="H288" s="25"/>
      <c r="I288" s="25"/>
      <c r="J288" s="6"/>
      <c r="K288" s="6"/>
      <c r="L288" s="6"/>
      <c r="M288" s="6"/>
      <c r="N288" s="6"/>
      <c r="O288" s="6"/>
      <c r="P288" s="6"/>
      <c r="Q288" s="6"/>
      <c r="R288" s="6"/>
      <c r="S288" s="26"/>
      <c r="T288" s="26"/>
      <c r="U288" s="27"/>
      <c r="V288" s="6"/>
      <c r="W288" s="6"/>
      <c r="X288" s="6"/>
      <c r="Y288" s="6"/>
      <c r="Z288" s="6"/>
      <c r="AA288" s="6"/>
      <c r="AB288" s="6"/>
      <c r="AC288" s="6"/>
      <c r="AD288" s="6"/>
    </row>
    <row r="289">
      <c r="A289" s="6"/>
      <c r="B289" s="6"/>
      <c r="C289" s="6"/>
      <c r="D289" s="6"/>
      <c r="E289" s="6"/>
      <c r="F289" s="6"/>
      <c r="G289" s="6"/>
      <c r="H289" s="25"/>
      <c r="I289" s="25"/>
      <c r="J289" s="6"/>
      <c r="K289" s="6"/>
      <c r="L289" s="6"/>
      <c r="M289" s="6"/>
      <c r="N289" s="6"/>
      <c r="O289" s="6"/>
      <c r="P289" s="6"/>
      <c r="Q289" s="6"/>
      <c r="R289" s="6"/>
      <c r="S289" s="26"/>
      <c r="T289" s="26"/>
      <c r="U289" s="27"/>
      <c r="V289" s="6"/>
      <c r="W289" s="6"/>
      <c r="X289" s="6"/>
      <c r="Y289" s="6"/>
      <c r="Z289" s="6"/>
      <c r="AA289" s="6"/>
      <c r="AB289" s="6"/>
      <c r="AC289" s="6"/>
      <c r="AD289" s="6"/>
    </row>
    <row r="290">
      <c r="A290" s="6"/>
      <c r="B290" s="6"/>
      <c r="C290" s="6"/>
      <c r="D290" s="6"/>
      <c r="E290" s="6"/>
      <c r="F290" s="6"/>
      <c r="G290" s="6"/>
      <c r="H290" s="25"/>
      <c r="I290" s="25"/>
      <c r="J290" s="6"/>
      <c r="K290" s="6"/>
      <c r="L290" s="6"/>
      <c r="M290" s="6"/>
      <c r="N290" s="6"/>
      <c r="O290" s="6"/>
      <c r="P290" s="6"/>
      <c r="Q290" s="6"/>
      <c r="R290" s="6"/>
      <c r="S290" s="26"/>
      <c r="T290" s="26"/>
      <c r="U290" s="27"/>
      <c r="V290" s="6"/>
      <c r="W290" s="6"/>
      <c r="X290" s="6"/>
      <c r="Y290" s="6"/>
      <c r="Z290" s="6"/>
      <c r="AA290" s="6"/>
      <c r="AB290" s="6"/>
      <c r="AC290" s="6"/>
      <c r="AD290" s="6"/>
    </row>
    <row r="291">
      <c r="A291" s="6"/>
      <c r="B291" s="6"/>
      <c r="C291" s="6"/>
      <c r="D291" s="6"/>
      <c r="E291" s="6"/>
      <c r="F291" s="6"/>
      <c r="G291" s="6"/>
      <c r="H291" s="25"/>
      <c r="I291" s="25"/>
      <c r="J291" s="6"/>
      <c r="K291" s="6"/>
      <c r="L291" s="6"/>
      <c r="M291" s="6"/>
      <c r="N291" s="6"/>
      <c r="O291" s="6"/>
      <c r="P291" s="6"/>
      <c r="Q291" s="6"/>
      <c r="R291" s="6"/>
      <c r="S291" s="26"/>
      <c r="T291" s="26"/>
      <c r="U291" s="27"/>
      <c r="V291" s="6"/>
      <c r="W291" s="6"/>
      <c r="X291" s="6"/>
      <c r="Y291" s="6"/>
      <c r="Z291" s="6"/>
      <c r="AA291" s="6"/>
      <c r="AB291" s="6"/>
      <c r="AC291" s="6"/>
      <c r="AD291" s="6"/>
    </row>
    <row r="292">
      <c r="A292" s="6"/>
      <c r="B292" s="6"/>
      <c r="C292" s="6"/>
      <c r="D292" s="6"/>
      <c r="E292" s="6"/>
      <c r="F292" s="6"/>
      <c r="G292" s="6"/>
      <c r="H292" s="25"/>
      <c r="I292" s="25"/>
      <c r="J292" s="6"/>
      <c r="K292" s="6"/>
      <c r="L292" s="6"/>
      <c r="M292" s="6"/>
      <c r="N292" s="6"/>
      <c r="O292" s="6"/>
      <c r="P292" s="6"/>
      <c r="Q292" s="6"/>
      <c r="R292" s="6"/>
      <c r="S292" s="26"/>
      <c r="T292" s="26"/>
      <c r="U292" s="27"/>
      <c r="V292" s="6"/>
      <c r="W292" s="6"/>
      <c r="X292" s="6"/>
      <c r="Y292" s="6"/>
      <c r="Z292" s="6"/>
      <c r="AA292" s="6"/>
      <c r="AB292" s="6"/>
      <c r="AC292" s="6"/>
      <c r="AD292" s="6"/>
    </row>
    <row r="293">
      <c r="A293" s="6"/>
      <c r="B293" s="6"/>
      <c r="C293" s="6"/>
      <c r="D293" s="6"/>
      <c r="E293" s="6"/>
      <c r="F293" s="6"/>
      <c r="G293" s="6"/>
      <c r="H293" s="25"/>
      <c r="I293" s="25"/>
      <c r="J293" s="6"/>
      <c r="K293" s="6"/>
      <c r="L293" s="6"/>
      <c r="M293" s="6"/>
      <c r="N293" s="6"/>
      <c r="O293" s="6"/>
      <c r="P293" s="6"/>
      <c r="Q293" s="6"/>
      <c r="R293" s="6"/>
      <c r="S293" s="26"/>
      <c r="T293" s="26"/>
      <c r="U293" s="27"/>
      <c r="V293" s="6"/>
      <c r="W293" s="6"/>
      <c r="X293" s="6"/>
      <c r="Y293" s="6"/>
      <c r="Z293" s="6"/>
      <c r="AA293" s="6"/>
      <c r="AB293" s="6"/>
      <c r="AC293" s="6"/>
      <c r="AD293" s="6"/>
    </row>
    <row r="294">
      <c r="A294" s="6"/>
      <c r="B294" s="6"/>
      <c r="C294" s="6"/>
      <c r="D294" s="6"/>
      <c r="E294" s="6"/>
      <c r="F294" s="6"/>
      <c r="G294" s="6"/>
      <c r="H294" s="25"/>
      <c r="I294" s="25"/>
      <c r="J294" s="6"/>
      <c r="K294" s="6"/>
      <c r="L294" s="6"/>
      <c r="M294" s="6"/>
      <c r="N294" s="6"/>
      <c r="O294" s="6"/>
      <c r="P294" s="6"/>
      <c r="Q294" s="6"/>
      <c r="R294" s="6"/>
      <c r="S294" s="26"/>
      <c r="T294" s="26"/>
      <c r="U294" s="27"/>
      <c r="V294" s="6"/>
      <c r="W294" s="6"/>
      <c r="X294" s="6"/>
      <c r="Y294" s="6"/>
      <c r="Z294" s="6"/>
      <c r="AA294" s="6"/>
      <c r="AB294" s="6"/>
      <c r="AC294" s="6"/>
      <c r="AD294" s="6"/>
    </row>
    <row r="295">
      <c r="A295" s="6"/>
      <c r="B295" s="6"/>
      <c r="C295" s="6"/>
      <c r="D295" s="6"/>
      <c r="E295" s="6"/>
      <c r="F295" s="6"/>
      <c r="G295" s="6"/>
      <c r="H295" s="25"/>
      <c r="I295" s="25"/>
      <c r="J295" s="6"/>
      <c r="K295" s="6"/>
      <c r="L295" s="6"/>
      <c r="M295" s="6"/>
      <c r="N295" s="6"/>
      <c r="O295" s="6"/>
      <c r="P295" s="6"/>
      <c r="Q295" s="6"/>
      <c r="R295" s="6"/>
      <c r="S295" s="26"/>
      <c r="T295" s="26"/>
      <c r="U295" s="27"/>
      <c r="V295" s="6"/>
      <c r="W295" s="6"/>
      <c r="X295" s="6"/>
      <c r="Y295" s="6"/>
      <c r="Z295" s="6"/>
      <c r="AA295" s="6"/>
      <c r="AB295" s="6"/>
      <c r="AC295" s="6"/>
      <c r="AD295" s="6"/>
    </row>
    <row r="296">
      <c r="A296" s="6"/>
      <c r="B296" s="6"/>
      <c r="C296" s="6"/>
      <c r="D296" s="6"/>
      <c r="E296" s="6"/>
      <c r="F296" s="6"/>
      <c r="G296" s="6"/>
      <c r="H296" s="25"/>
      <c r="I296" s="25"/>
      <c r="J296" s="6"/>
      <c r="K296" s="6"/>
      <c r="L296" s="6"/>
      <c r="M296" s="6"/>
      <c r="N296" s="6"/>
      <c r="O296" s="6"/>
      <c r="P296" s="6"/>
      <c r="Q296" s="6"/>
      <c r="R296" s="6"/>
      <c r="S296" s="26"/>
      <c r="T296" s="26"/>
      <c r="U296" s="27"/>
      <c r="V296" s="6"/>
      <c r="W296" s="6"/>
      <c r="X296" s="6"/>
      <c r="Y296" s="6"/>
      <c r="Z296" s="6"/>
      <c r="AA296" s="6"/>
      <c r="AB296" s="6"/>
      <c r="AC296" s="6"/>
      <c r="AD296" s="6"/>
    </row>
    <row r="297">
      <c r="A297" s="6"/>
      <c r="B297" s="6"/>
      <c r="C297" s="6"/>
      <c r="D297" s="6"/>
      <c r="E297" s="6"/>
      <c r="F297" s="6"/>
      <c r="G297" s="6"/>
      <c r="H297" s="25"/>
      <c r="I297" s="25"/>
      <c r="J297" s="6"/>
      <c r="K297" s="6"/>
      <c r="L297" s="6"/>
      <c r="M297" s="6"/>
      <c r="N297" s="6"/>
      <c r="O297" s="6"/>
      <c r="P297" s="6"/>
      <c r="Q297" s="6"/>
      <c r="R297" s="6"/>
      <c r="S297" s="26"/>
      <c r="T297" s="26"/>
      <c r="U297" s="27"/>
      <c r="V297" s="6"/>
      <c r="W297" s="6"/>
      <c r="X297" s="6"/>
      <c r="Y297" s="6"/>
      <c r="Z297" s="6"/>
      <c r="AA297" s="6"/>
      <c r="AB297" s="6"/>
      <c r="AC297" s="6"/>
      <c r="AD297" s="6"/>
    </row>
    <row r="298">
      <c r="A298" s="6"/>
      <c r="B298" s="6"/>
      <c r="C298" s="6"/>
      <c r="D298" s="6"/>
      <c r="E298" s="6"/>
      <c r="F298" s="6"/>
      <c r="G298" s="6"/>
      <c r="H298" s="25"/>
      <c r="I298" s="25"/>
      <c r="J298" s="6"/>
      <c r="K298" s="6"/>
      <c r="L298" s="6"/>
      <c r="M298" s="6"/>
      <c r="N298" s="6"/>
      <c r="O298" s="6"/>
      <c r="P298" s="6"/>
      <c r="Q298" s="6"/>
      <c r="R298" s="6"/>
      <c r="S298" s="26"/>
      <c r="T298" s="26"/>
      <c r="U298" s="27"/>
      <c r="V298" s="6"/>
      <c r="W298" s="6"/>
      <c r="X298" s="6"/>
      <c r="Y298" s="6"/>
      <c r="Z298" s="6"/>
      <c r="AA298" s="6"/>
      <c r="AB298" s="6"/>
      <c r="AC298" s="6"/>
      <c r="AD298" s="6"/>
    </row>
    <row r="299">
      <c r="A299" s="6"/>
      <c r="B299" s="6"/>
      <c r="C299" s="6"/>
      <c r="D299" s="6"/>
      <c r="E299" s="6"/>
      <c r="F299" s="6"/>
      <c r="G299" s="6"/>
      <c r="H299" s="25"/>
      <c r="I299" s="25"/>
      <c r="J299" s="6"/>
      <c r="K299" s="6"/>
      <c r="L299" s="6"/>
      <c r="M299" s="6"/>
      <c r="N299" s="6"/>
      <c r="O299" s="6"/>
      <c r="P299" s="6"/>
      <c r="Q299" s="6"/>
      <c r="R299" s="6"/>
      <c r="S299" s="26"/>
      <c r="T299" s="26"/>
      <c r="U299" s="27"/>
      <c r="V299" s="6"/>
      <c r="W299" s="6"/>
      <c r="X299" s="6"/>
      <c r="Y299" s="6"/>
      <c r="Z299" s="6"/>
      <c r="AA299" s="6"/>
      <c r="AB299" s="6"/>
      <c r="AC299" s="6"/>
      <c r="AD299" s="6"/>
    </row>
    <row r="300">
      <c r="A300" s="6"/>
      <c r="B300" s="6"/>
      <c r="C300" s="6"/>
      <c r="D300" s="6"/>
      <c r="E300" s="6"/>
      <c r="F300" s="6"/>
      <c r="G300" s="6"/>
      <c r="H300" s="25"/>
      <c r="I300" s="25"/>
      <c r="J300" s="6"/>
      <c r="K300" s="6"/>
      <c r="L300" s="6"/>
      <c r="M300" s="6"/>
      <c r="N300" s="6"/>
      <c r="O300" s="6"/>
      <c r="P300" s="6"/>
      <c r="Q300" s="6"/>
      <c r="R300" s="6"/>
      <c r="S300" s="26"/>
      <c r="T300" s="26"/>
      <c r="U300" s="27"/>
      <c r="V300" s="6"/>
      <c r="W300" s="6"/>
      <c r="X300" s="6"/>
      <c r="Y300" s="6"/>
      <c r="Z300" s="6"/>
      <c r="AA300" s="6"/>
      <c r="AB300" s="6"/>
      <c r="AC300" s="6"/>
      <c r="AD300" s="6"/>
    </row>
    <row r="301">
      <c r="A301" s="6"/>
      <c r="B301" s="6"/>
      <c r="C301" s="6"/>
      <c r="D301" s="6"/>
      <c r="E301" s="6"/>
      <c r="F301" s="6"/>
      <c r="G301" s="6"/>
      <c r="H301" s="25"/>
      <c r="I301" s="25"/>
      <c r="J301" s="6"/>
      <c r="K301" s="6"/>
      <c r="L301" s="6"/>
      <c r="M301" s="6"/>
      <c r="N301" s="6"/>
      <c r="O301" s="6"/>
      <c r="P301" s="6"/>
      <c r="Q301" s="6"/>
      <c r="R301" s="6"/>
      <c r="S301" s="26"/>
      <c r="T301" s="26"/>
      <c r="U301" s="27"/>
      <c r="V301" s="6"/>
      <c r="W301" s="6"/>
      <c r="X301" s="6"/>
      <c r="Y301" s="6"/>
      <c r="Z301" s="6"/>
      <c r="AA301" s="6"/>
      <c r="AB301" s="6"/>
      <c r="AC301" s="6"/>
      <c r="AD301" s="6"/>
    </row>
    <row r="302">
      <c r="A302" s="6"/>
      <c r="B302" s="6"/>
      <c r="C302" s="6"/>
      <c r="D302" s="6"/>
      <c r="E302" s="6"/>
      <c r="F302" s="6"/>
      <c r="G302" s="6"/>
      <c r="H302" s="25"/>
      <c r="I302" s="25"/>
      <c r="J302" s="6"/>
      <c r="K302" s="6"/>
      <c r="L302" s="6"/>
      <c r="M302" s="6"/>
      <c r="N302" s="6"/>
      <c r="O302" s="6"/>
      <c r="P302" s="6"/>
      <c r="Q302" s="6"/>
      <c r="R302" s="6"/>
      <c r="S302" s="26"/>
      <c r="T302" s="26"/>
      <c r="U302" s="27"/>
      <c r="V302" s="6"/>
      <c r="W302" s="6"/>
      <c r="X302" s="6"/>
      <c r="Y302" s="6"/>
      <c r="Z302" s="6"/>
      <c r="AA302" s="6"/>
      <c r="AB302" s="6"/>
      <c r="AC302" s="6"/>
      <c r="AD302" s="6"/>
    </row>
    <row r="303">
      <c r="A303" s="6"/>
      <c r="B303" s="6"/>
      <c r="C303" s="6"/>
      <c r="D303" s="6"/>
      <c r="E303" s="6"/>
      <c r="F303" s="6"/>
      <c r="G303" s="6"/>
      <c r="H303" s="25"/>
      <c r="I303" s="25"/>
      <c r="J303" s="6"/>
      <c r="K303" s="6"/>
      <c r="L303" s="6"/>
      <c r="M303" s="6"/>
      <c r="N303" s="6"/>
      <c r="O303" s="6"/>
      <c r="P303" s="6"/>
      <c r="Q303" s="6"/>
      <c r="R303" s="6"/>
      <c r="S303" s="26"/>
      <c r="T303" s="26"/>
      <c r="U303" s="27"/>
      <c r="V303" s="6"/>
      <c r="W303" s="6"/>
      <c r="X303" s="6"/>
      <c r="Y303" s="6"/>
      <c r="Z303" s="6"/>
      <c r="AA303" s="6"/>
      <c r="AB303" s="6"/>
      <c r="AC303" s="6"/>
      <c r="AD303" s="6"/>
    </row>
    <row r="304">
      <c r="A304" s="6"/>
      <c r="B304" s="6"/>
      <c r="C304" s="6"/>
      <c r="D304" s="6"/>
      <c r="E304" s="6"/>
      <c r="F304" s="6"/>
      <c r="G304" s="6"/>
      <c r="H304" s="25"/>
      <c r="I304" s="25"/>
      <c r="J304" s="6"/>
      <c r="K304" s="6"/>
      <c r="L304" s="6"/>
      <c r="M304" s="6"/>
      <c r="N304" s="6"/>
      <c r="O304" s="6"/>
      <c r="P304" s="6"/>
      <c r="Q304" s="6"/>
      <c r="R304" s="6"/>
      <c r="S304" s="26"/>
      <c r="T304" s="26"/>
      <c r="U304" s="27"/>
      <c r="V304" s="6"/>
      <c r="W304" s="6"/>
      <c r="X304" s="6"/>
      <c r="Y304" s="6"/>
      <c r="Z304" s="6"/>
      <c r="AA304" s="6"/>
      <c r="AB304" s="6"/>
      <c r="AC304" s="6"/>
      <c r="AD304" s="6"/>
    </row>
    <row r="305">
      <c r="A305" s="6"/>
      <c r="B305" s="6"/>
      <c r="C305" s="6"/>
      <c r="D305" s="6"/>
      <c r="E305" s="6"/>
      <c r="F305" s="6"/>
      <c r="G305" s="6"/>
      <c r="H305" s="25"/>
      <c r="I305" s="25"/>
      <c r="J305" s="6"/>
      <c r="K305" s="6"/>
      <c r="L305" s="6"/>
      <c r="M305" s="6"/>
      <c r="N305" s="6"/>
      <c r="O305" s="6"/>
      <c r="P305" s="6"/>
      <c r="Q305" s="6"/>
      <c r="R305" s="6"/>
      <c r="S305" s="26"/>
      <c r="T305" s="26"/>
      <c r="U305" s="27"/>
      <c r="V305" s="6"/>
      <c r="W305" s="6"/>
      <c r="X305" s="6"/>
      <c r="Y305" s="6"/>
      <c r="Z305" s="6"/>
      <c r="AA305" s="6"/>
      <c r="AB305" s="6"/>
      <c r="AC305" s="6"/>
      <c r="AD305" s="6"/>
    </row>
    <row r="306">
      <c r="A306" s="6"/>
      <c r="B306" s="6"/>
      <c r="C306" s="6"/>
      <c r="D306" s="6"/>
      <c r="E306" s="6"/>
      <c r="F306" s="6"/>
      <c r="G306" s="6"/>
      <c r="H306" s="25"/>
      <c r="I306" s="25"/>
      <c r="J306" s="6"/>
      <c r="K306" s="6"/>
      <c r="L306" s="6"/>
      <c r="M306" s="6"/>
      <c r="N306" s="6"/>
      <c r="O306" s="6"/>
      <c r="P306" s="6"/>
      <c r="Q306" s="6"/>
      <c r="R306" s="6"/>
      <c r="S306" s="26"/>
      <c r="T306" s="26"/>
      <c r="U306" s="27"/>
      <c r="V306" s="6"/>
      <c r="W306" s="6"/>
      <c r="X306" s="6"/>
      <c r="Y306" s="6"/>
      <c r="Z306" s="6"/>
      <c r="AA306" s="6"/>
      <c r="AB306" s="6"/>
      <c r="AC306" s="6"/>
      <c r="AD306" s="6"/>
    </row>
    <row r="307">
      <c r="A307" s="6"/>
      <c r="B307" s="6"/>
      <c r="C307" s="6"/>
      <c r="D307" s="6"/>
      <c r="E307" s="6"/>
      <c r="F307" s="6"/>
      <c r="G307" s="6"/>
      <c r="H307" s="25"/>
      <c r="I307" s="25"/>
      <c r="J307" s="6"/>
      <c r="K307" s="6"/>
      <c r="L307" s="6"/>
      <c r="M307" s="6"/>
      <c r="N307" s="6"/>
      <c r="O307" s="6"/>
      <c r="P307" s="6"/>
      <c r="Q307" s="6"/>
      <c r="R307" s="6"/>
      <c r="S307" s="26"/>
      <c r="T307" s="26"/>
      <c r="U307" s="27"/>
      <c r="V307" s="6"/>
      <c r="W307" s="6"/>
      <c r="X307" s="6"/>
      <c r="Y307" s="6"/>
      <c r="Z307" s="6"/>
      <c r="AA307" s="6"/>
      <c r="AB307" s="6"/>
      <c r="AC307" s="6"/>
      <c r="AD307" s="6"/>
    </row>
    <row r="308">
      <c r="A308" s="6"/>
      <c r="B308" s="6"/>
      <c r="C308" s="6"/>
      <c r="D308" s="6"/>
      <c r="E308" s="6"/>
      <c r="F308" s="6"/>
      <c r="G308" s="6"/>
      <c r="H308" s="25"/>
      <c r="I308" s="25"/>
      <c r="J308" s="6"/>
      <c r="K308" s="6"/>
      <c r="L308" s="6"/>
      <c r="M308" s="6"/>
      <c r="N308" s="6"/>
      <c r="O308" s="6"/>
      <c r="P308" s="6"/>
      <c r="Q308" s="6"/>
      <c r="R308" s="6"/>
      <c r="S308" s="26"/>
      <c r="T308" s="26"/>
      <c r="U308" s="27"/>
      <c r="V308" s="6"/>
      <c r="W308" s="6"/>
      <c r="X308" s="6"/>
      <c r="Y308" s="6"/>
      <c r="Z308" s="6"/>
      <c r="AA308" s="6"/>
      <c r="AB308" s="6"/>
      <c r="AC308" s="6"/>
      <c r="AD308" s="6"/>
    </row>
    <row r="309">
      <c r="A309" s="6"/>
      <c r="B309" s="6"/>
      <c r="C309" s="6"/>
      <c r="D309" s="6"/>
      <c r="E309" s="6"/>
      <c r="F309" s="6"/>
      <c r="G309" s="6"/>
      <c r="H309" s="25"/>
      <c r="I309" s="25"/>
      <c r="J309" s="6"/>
      <c r="K309" s="6"/>
      <c r="L309" s="6"/>
      <c r="M309" s="6"/>
      <c r="N309" s="6"/>
      <c r="O309" s="6"/>
      <c r="P309" s="6"/>
      <c r="Q309" s="6"/>
      <c r="R309" s="6"/>
      <c r="S309" s="26"/>
      <c r="T309" s="26"/>
      <c r="U309" s="27"/>
      <c r="V309" s="6"/>
      <c r="W309" s="6"/>
      <c r="X309" s="6"/>
      <c r="Y309" s="6"/>
      <c r="Z309" s="6"/>
      <c r="AA309" s="6"/>
      <c r="AB309" s="6"/>
      <c r="AC309" s="6"/>
      <c r="AD309" s="6"/>
    </row>
    <row r="310">
      <c r="A310" s="6"/>
      <c r="B310" s="6"/>
      <c r="C310" s="6"/>
      <c r="D310" s="6"/>
      <c r="E310" s="6"/>
      <c r="F310" s="6"/>
      <c r="G310" s="6"/>
      <c r="H310" s="25"/>
      <c r="I310" s="25"/>
      <c r="J310" s="6"/>
      <c r="K310" s="6"/>
      <c r="L310" s="6"/>
      <c r="M310" s="6"/>
      <c r="N310" s="6"/>
      <c r="O310" s="6"/>
      <c r="P310" s="6"/>
      <c r="Q310" s="6"/>
      <c r="R310" s="6"/>
      <c r="S310" s="26"/>
      <c r="T310" s="26"/>
      <c r="U310" s="27"/>
      <c r="V310" s="6"/>
      <c r="W310" s="6"/>
      <c r="X310" s="6"/>
      <c r="Y310" s="6"/>
      <c r="Z310" s="6"/>
      <c r="AA310" s="6"/>
      <c r="AB310" s="6"/>
      <c r="AC310" s="6"/>
      <c r="AD310" s="6"/>
    </row>
    <row r="311">
      <c r="A311" s="6"/>
      <c r="B311" s="6"/>
      <c r="C311" s="6"/>
      <c r="D311" s="6"/>
      <c r="E311" s="6"/>
      <c r="F311" s="6"/>
      <c r="G311" s="6"/>
      <c r="H311" s="25"/>
      <c r="I311" s="25"/>
      <c r="J311" s="6"/>
      <c r="K311" s="6"/>
      <c r="L311" s="6"/>
      <c r="M311" s="6"/>
      <c r="N311" s="6"/>
      <c r="O311" s="6"/>
      <c r="P311" s="6"/>
      <c r="Q311" s="6"/>
      <c r="R311" s="6"/>
      <c r="S311" s="26"/>
      <c r="T311" s="26"/>
      <c r="U311" s="27"/>
      <c r="V311" s="6"/>
      <c r="W311" s="6"/>
      <c r="X311" s="6"/>
      <c r="Y311" s="6"/>
      <c r="Z311" s="6"/>
      <c r="AA311" s="6"/>
      <c r="AB311" s="6"/>
      <c r="AC311" s="6"/>
      <c r="AD311" s="6"/>
    </row>
    <row r="312">
      <c r="A312" s="6"/>
      <c r="B312" s="6"/>
      <c r="C312" s="6"/>
      <c r="D312" s="6"/>
      <c r="E312" s="6"/>
      <c r="F312" s="6"/>
      <c r="G312" s="6"/>
      <c r="H312" s="25"/>
      <c r="I312" s="25"/>
      <c r="J312" s="6"/>
      <c r="K312" s="6"/>
      <c r="L312" s="6"/>
      <c r="M312" s="6"/>
      <c r="N312" s="6"/>
      <c r="O312" s="6"/>
      <c r="P312" s="6"/>
      <c r="Q312" s="6"/>
      <c r="R312" s="6"/>
      <c r="S312" s="26"/>
      <c r="T312" s="26"/>
      <c r="U312" s="27"/>
      <c r="V312" s="6"/>
      <c r="W312" s="6"/>
      <c r="X312" s="6"/>
      <c r="Y312" s="6"/>
      <c r="Z312" s="6"/>
      <c r="AA312" s="6"/>
      <c r="AB312" s="6"/>
      <c r="AC312" s="6"/>
      <c r="AD312" s="6"/>
    </row>
    <row r="313">
      <c r="A313" s="6"/>
      <c r="B313" s="6"/>
      <c r="C313" s="6"/>
      <c r="D313" s="6"/>
      <c r="E313" s="6"/>
      <c r="F313" s="6"/>
      <c r="G313" s="6"/>
      <c r="H313" s="25"/>
      <c r="I313" s="25"/>
      <c r="J313" s="6"/>
      <c r="K313" s="6"/>
      <c r="L313" s="6"/>
      <c r="M313" s="6"/>
      <c r="N313" s="6"/>
      <c r="O313" s="6"/>
      <c r="P313" s="6"/>
      <c r="Q313" s="6"/>
      <c r="R313" s="6"/>
      <c r="S313" s="26"/>
      <c r="T313" s="26"/>
      <c r="U313" s="27"/>
      <c r="V313" s="6"/>
      <c r="W313" s="6"/>
      <c r="X313" s="6"/>
      <c r="Y313" s="6"/>
      <c r="Z313" s="6"/>
      <c r="AA313" s="6"/>
      <c r="AB313" s="6"/>
      <c r="AC313" s="6"/>
      <c r="AD313" s="6"/>
    </row>
    <row r="314">
      <c r="A314" s="6"/>
      <c r="B314" s="6"/>
      <c r="C314" s="6"/>
      <c r="D314" s="6"/>
      <c r="E314" s="6"/>
      <c r="F314" s="6"/>
      <c r="G314" s="6"/>
      <c r="H314" s="25"/>
      <c r="I314" s="25"/>
      <c r="J314" s="6"/>
      <c r="K314" s="6"/>
      <c r="L314" s="6"/>
      <c r="M314" s="6"/>
      <c r="N314" s="6"/>
      <c r="O314" s="6"/>
      <c r="P314" s="6"/>
      <c r="Q314" s="6"/>
      <c r="R314" s="6"/>
      <c r="S314" s="26"/>
      <c r="T314" s="26"/>
      <c r="U314" s="27"/>
      <c r="V314" s="6"/>
      <c r="W314" s="6"/>
      <c r="X314" s="6"/>
      <c r="Y314" s="6"/>
      <c r="Z314" s="6"/>
      <c r="AA314" s="6"/>
      <c r="AB314" s="6"/>
      <c r="AC314" s="6"/>
      <c r="AD314" s="6"/>
    </row>
    <row r="315">
      <c r="A315" s="6"/>
      <c r="B315" s="6"/>
      <c r="C315" s="6"/>
      <c r="D315" s="6"/>
      <c r="E315" s="6"/>
      <c r="F315" s="6"/>
      <c r="G315" s="6"/>
      <c r="H315" s="25"/>
      <c r="I315" s="25"/>
      <c r="J315" s="6"/>
      <c r="K315" s="6"/>
      <c r="L315" s="6"/>
      <c r="M315" s="6"/>
      <c r="N315" s="6"/>
      <c r="O315" s="6"/>
      <c r="P315" s="6"/>
      <c r="Q315" s="6"/>
      <c r="R315" s="6"/>
      <c r="S315" s="26"/>
      <c r="T315" s="26"/>
      <c r="U315" s="27"/>
      <c r="V315" s="6"/>
      <c r="W315" s="6"/>
      <c r="X315" s="6"/>
      <c r="Y315" s="6"/>
      <c r="Z315" s="6"/>
      <c r="AA315" s="6"/>
      <c r="AB315" s="6"/>
      <c r="AC315" s="6"/>
      <c r="AD315" s="6"/>
    </row>
    <row r="316">
      <c r="A316" s="6"/>
      <c r="B316" s="6"/>
      <c r="C316" s="6"/>
      <c r="D316" s="6"/>
      <c r="E316" s="6"/>
      <c r="F316" s="6"/>
      <c r="G316" s="6"/>
      <c r="H316" s="25"/>
      <c r="I316" s="25"/>
      <c r="J316" s="6"/>
      <c r="K316" s="6"/>
      <c r="L316" s="6"/>
      <c r="M316" s="6"/>
      <c r="N316" s="6"/>
      <c r="O316" s="6"/>
      <c r="P316" s="6"/>
      <c r="Q316" s="6"/>
      <c r="R316" s="6"/>
      <c r="S316" s="26"/>
      <c r="T316" s="26"/>
      <c r="U316" s="27"/>
      <c r="V316" s="6"/>
      <c r="W316" s="6"/>
      <c r="X316" s="6"/>
      <c r="Y316" s="6"/>
      <c r="Z316" s="6"/>
      <c r="AA316" s="6"/>
      <c r="AB316" s="6"/>
      <c r="AC316" s="6"/>
      <c r="AD316" s="6"/>
    </row>
    <row r="317">
      <c r="A317" s="6"/>
      <c r="B317" s="6"/>
      <c r="C317" s="6"/>
      <c r="D317" s="6"/>
      <c r="E317" s="6"/>
      <c r="F317" s="6"/>
      <c r="G317" s="6"/>
      <c r="H317" s="25"/>
      <c r="I317" s="25"/>
      <c r="J317" s="6"/>
      <c r="K317" s="6"/>
      <c r="L317" s="6"/>
      <c r="M317" s="6"/>
      <c r="N317" s="6"/>
      <c r="O317" s="6"/>
      <c r="P317" s="6"/>
      <c r="Q317" s="6"/>
      <c r="R317" s="6"/>
      <c r="S317" s="26"/>
      <c r="T317" s="26"/>
      <c r="U317" s="27"/>
      <c r="V317" s="6"/>
      <c r="W317" s="6"/>
      <c r="X317" s="6"/>
      <c r="Y317" s="6"/>
      <c r="Z317" s="6"/>
      <c r="AA317" s="6"/>
      <c r="AB317" s="6"/>
      <c r="AC317" s="6"/>
      <c r="AD317" s="6"/>
    </row>
    <row r="318">
      <c r="A318" s="6"/>
      <c r="B318" s="6"/>
      <c r="C318" s="6"/>
      <c r="D318" s="6"/>
      <c r="E318" s="6"/>
      <c r="F318" s="6"/>
      <c r="G318" s="6"/>
      <c r="H318" s="25"/>
      <c r="I318" s="25"/>
      <c r="J318" s="6"/>
      <c r="K318" s="6"/>
      <c r="L318" s="6"/>
      <c r="M318" s="6"/>
      <c r="N318" s="6"/>
      <c r="O318" s="6"/>
      <c r="P318" s="6"/>
      <c r="Q318" s="6"/>
      <c r="R318" s="6"/>
      <c r="S318" s="26"/>
      <c r="T318" s="26"/>
      <c r="U318" s="27"/>
      <c r="V318" s="6"/>
      <c r="W318" s="6"/>
      <c r="X318" s="6"/>
      <c r="Y318" s="6"/>
      <c r="Z318" s="6"/>
      <c r="AA318" s="6"/>
      <c r="AB318" s="6"/>
      <c r="AC318" s="6"/>
      <c r="AD318" s="6"/>
    </row>
    <row r="319">
      <c r="A319" s="6"/>
      <c r="B319" s="6"/>
      <c r="C319" s="6"/>
      <c r="D319" s="6"/>
      <c r="E319" s="6"/>
      <c r="F319" s="6"/>
      <c r="G319" s="6"/>
      <c r="H319" s="25"/>
      <c r="I319" s="25"/>
      <c r="J319" s="6"/>
      <c r="K319" s="6"/>
      <c r="L319" s="6"/>
      <c r="M319" s="6"/>
      <c r="N319" s="6"/>
      <c r="O319" s="6"/>
      <c r="P319" s="6"/>
      <c r="Q319" s="6"/>
      <c r="R319" s="6"/>
      <c r="S319" s="26"/>
      <c r="T319" s="26"/>
      <c r="U319" s="27"/>
      <c r="V319" s="6"/>
      <c r="W319" s="6"/>
      <c r="X319" s="6"/>
      <c r="Y319" s="6"/>
      <c r="Z319" s="6"/>
      <c r="AA319" s="6"/>
      <c r="AB319" s="6"/>
      <c r="AC319" s="6"/>
      <c r="AD319" s="6"/>
    </row>
    <row r="320">
      <c r="A320" s="6"/>
      <c r="B320" s="6"/>
      <c r="C320" s="6"/>
      <c r="D320" s="6"/>
      <c r="E320" s="6"/>
      <c r="F320" s="6"/>
      <c r="G320" s="6"/>
      <c r="H320" s="25"/>
      <c r="I320" s="25"/>
      <c r="J320" s="6"/>
      <c r="K320" s="6"/>
      <c r="L320" s="6"/>
      <c r="M320" s="6"/>
      <c r="N320" s="6"/>
      <c r="O320" s="6"/>
      <c r="P320" s="6"/>
      <c r="Q320" s="6"/>
      <c r="R320" s="6"/>
      <c r="S320" s="26"/>
      <c r="T320" s="26"/>
      <c r="U320" s="27"/>
      <c r="V320" s="6"/>
      <c r="W320" s="6"/>
      <c r="X320" s="6"/>
      <c r="Y320" s="6"/>
      <c r="Z320" s="6"/>
      <c r="AA320" s="6"/>
      <c r="AB320" s="6"/>
      <c r="AC320" s="6"/>
      <c r="AD320" s="6"/>
    </row>
    <row r="321">
      <c r="A321" s="6"/>
      <c r="B321" s="6"/>
      <c r="C321" s="6"/>
      <c r="D321" s="6"/>
      <c r="E321" s="6"/>
      <c r="F321" s="6"/>
      <c r="G321" s="6"/>
      <c r="H321" s="25"/>
      <c r="I321" s="25"/>
      <c r="J321" s="6"/>
      <c r="K321" s="6"/>
      <c r="L321" s="6"/>
      <c r="M321" s="6"/>
      <c r="N321" s="6"/>
      <c r="O321" s="6"/>
      <c r="P321" s="6"/>
      <c r="Q321" s="6"/>
      <c r="R321" s="6"/>
      <c r="S321" s="26"/>
      <c r="T321" s="26"/>
      <c r="U321" s="27"/>
      <c r="V321" s="6"/>
      <c r="W321" s="6"/>
      <c r="X321" s="6"/>
      <c r="Y321" s="6"/>
      <c r="Z321" s="6"/>
      <c r="AA321" s="6"/>
      <c r="AB321" s="6"/>
      <c r="AC321" s="6"/>
      <c r="AD321" s="6"/>
    </row>
    <row r="322">
      <c r="A322" s="6"/>
      <c r="B322" s="6"/>
      <c r="C322" s="6"/>
      <c r="D322" s="6"/>
      <c r="E322" s="6"/>
      <c r="F322" s="6"/>
      <c r="G322" s="6"/>
      <c r="H322" s="25"/>
      <c r="I322" s="25"/>
      <c r="J322" s="6"/>
      <c r="K322" s="6"/>
      <c r="L322" s="6"/>
      <c r="M322" s="6"/>
      <c r="N322" s="6"/>
      <c r="O322" s="6"/>
      <c r="P322" s="6"/>
      <c r="Q322" s="6"/>
      <c r="R322" s="6"/>
      <c r="S322" s="26"/>
      <c r="T322" s="26"/>
      <c r="U322" s="27"/>
      <c r="V322" s="6"/>
      <c r="W322" s="6"/>
      <c r="X322" s="6"/>
      <c r="Y322" s="6"/>
      <c r="Z322" s="6"/>
      <c r="AA322" s="6"/>
      <c r="AB322" s="6"/>
      <c r="AC322" s="6"/>
      <c r="AD322" s="6"/>
    </row>
    <row r="323">
      <c r="A323" s="6"/>
      <c r="B323" s="6"/>
      <c r="C323" s="6"/>
      <c r="D323" s="6"/>
      <c r="E323" s="6"/>
      <c r="F323" s="6"/>
      <c r="G323" s="6"/>
      <c r="H323" s="25"/>
      <c r="I323" s="25"/>
      <c r="J323" s="6"/>
      <c r="K323" s="6"/>
      <c r="L323" s="6"/>
      <c r="M323" s="6"/>
      <c r="N323" s="6"/>
      <c r="O323" s="6"/>
      <c r="P323" s="6"/>
      <c r="Q323" s="6"/>
      <c r="R323" s="6"/>
      <c r="S323" s="26"/>
      <c r="T323" s="26"/>
      <c r="U323" s="27"/>
      <c r="V323" s="6"/>
      <c r="W323" s="6"/>
      <c r="X323" s="6"/>
      <c r="Y323" s="6"/>
      <c r="Z323" s="6"/>
      <c r="AA323" s="6"/>
      <c r="AB323" s="6"/>
      <c r="AC323" s="6"/>
      <c r="AD323" s="6"/>
    </row>
    <row r="324">
      <c r="A324" s="6"/>
      <c r="B324" s="6"/>
      <c r="C324" s="6"/>
      <c r="D324" s="6"/>
      <c r="E324" s="6"/>
      <c r="F324" s="6"/>
      <c r="G324" s="6"/>
      <c r="H324" s="25"/>
      <c r="I324" s="25"/>
      <c r="J324" s="6"/>
      <c r="K324" s="6"/>
      <c r="L324" s="6"/>
      <c r="M324" s="6"/>
      <c r="N324" s="6"/>
      <c r="O324" s="6"/>
      <c r="P324" s="6"/>
      <c r="Q324" s="6"/>
      <c r="R324" s="6"/>
      <c r="S324" s="26"/>
      <c r="T324" s="26"/>
      <c r="U324" s="27"/>
      <c r="V324" s="6"/>
      <c r="W324" s="6"/>
      <c r="X324" s="6"/>
      <c r="Y324" s="6"/>
      <c r="Z324" s="6"/>
      <c r="AA324" s="6"/>
      <c r="AB324" s="6"/>
      <c r="AC324" s="6"/>
      <c r="AD324" s="6"/>
    </row>
    <row r="325">
      <c r="A325" s="6"/>
      <c r="B325" s="6"/>
      <c r="C325" s="6"/>
      <c r="D325" s="6"/>
      <c r="E325" s="6"/>
      <c r="F325" s="6"/>
      <c r="G325" s="6"/>
      <c r="H325" s="25"/>
      <c r="I325" s="25"/>
      <c r="J325" s="6"/>
      <c r="K325" s="6"/>
      <c r="L325" s="6"/>
      <c r="M325" s="6"/>
      <c r="N325" s="6"/>
      <c r="O325" s="6"/>
      <c r="P325" s="6"/>
      <c r="Q325" s="6"/>
      <c r="R325" s="6"/>
      <c r="S325" s="26"/>
      <c r="T325" s="26"/>
      <c r="U325" s="27"/>
      <c r="V325" s="6"/>
      <c r="W325" s="6"/>
      <c r="X325" s="6"/>
      <c r="Y325" s="6"/>
      <c r="Z325" s="6"/>
      <c r="AA325" s="6"/>
      <c r="AB325" s="6"/>
      <c r="AC325" s="6"/>
      <c r="AD325" s="6"/>
    </row>
    <row r="326">
      <c r="A326" s="6"/>
      <c r="B326" s="6"/>
      <c r="C326" s="6"/>
      <c r="D326" s="6"/>
      <c r="E326" s="6"/>
      <c r="F326" s="6"/>
      <c r="G326" s="6"/>
      <c r="H326" s="25"/>
      <c r="I326" s="25"/>
      <c r="J326" s="6"/>
      <c r="K326" s="6"/>
      <c r="L326" s="6"/>
      <c r="M326" s="6"/>
      <c r="N326" s="6"/>
      <c r="O326" s="6"/>
      <c r="P326" s="6"/>
      <c r="Q326" s="6"/>
      <c r="R326" s="6"/>
      <c r="S326" s="26"/>
      <c r="T326" s="26"/>
      <c r="U326" s="27"/>
      <c r="V326" s="6"/>
      <c r="W326" s="6"/>
      <c r="X326" s="6"/>
      <c r="Y326" s="6"/>
      <c r="Z326" s="6"/>
      <c r="AA326" s="6"/>
      <c r="AB326" s="6"/>
      <c r="AC326" s="6"/>
      <c r="AD326" s="6"/>
    </row>
    <row r="327">
      <c r="A327" s="6"/>
      <c r="B327" s="6"/>
      <c r="C327" s="6"/>
      <c r="D327" s="6"/>
      <c r="E327" s="6"/>
      <c r="F327" s="6"/>
      <c r="G327" s="6"/>
      <c r="H327" s="25"/>
      <c r="I327" s="25"/>
      <c r="J327" s="6"/>
      <c r="K327" s="6"/>
      <c r="L327" s="6"/>
      <c r="M327" s="6"/>
      <c r="N327" s="6"/>
      <c r="O327" s="6"/>
      <c r="P327" s="6"/>
      <c r="Q327" s="6"/>
      <c r="R327" s="6"/>
      <c r="S327" s="26"/>
      <c r="T327" s="26"/>
      <c r="U327" s="27"/>
      <c r="V327" s="6"/>
      <c r="W327" s="6"/>
      <c r="X327" s="6"/>
      <c r="Y327" s="6"/>
      <c r="Z327" s="6"/>
      <c r="AA327" s="6"/>
      <c r="AB327" s="6"/>
      <c r="AC327" s="6"/>
      <c r="AD327" s="6"/>
    </row>
    <row r="328">
      <c r="A328" s="6"/>
      <c r="B328" s="6"/>
      <c r="C328" s="6"/>
      <c r="D328" s="6"/>
      <c r="E328" s="6"/>
      <c r="F328" s="6"/>
      <c r="G328" s="6"/>
      <c r="H328" s="25"/>
      <c r="I328" s="25"/>
      <c r="J328" s="6"/>
      <c r="K328" s="6"/>
      <c r="L328" s="6"/>
      <c r="M328" s="6"/>
      <c r="N328" s="6"/>
      <c r="O328" s="6"/>
      <c r="P328" s="6"/>
      <c r="Q328" s="6"/>
      <c r="R328" s="6"/>
      <c r="S328" s="26"/>
      <c r="T328" s="26"/>
      <c r="U328" s="27"/>
      <c r="V328" s="6"/>
      <c r="W328" s="6"/>
      <c r="X328" s="6"/>
      <c r="Y328" s="6"/>
      <c r="Z328" s="6"/>
      <c r="AA328" s="6"/>
      <c r="AB328" s="6"/>
      <c r="AC328" s="6"/>
      <c r="AD328" s="6"/>
    </row>
    <row r="329">
      <c r="A329" s="6"/>
      <c r="B329" s="6"/>
      <c r="C329" s="6"/>
      <c r="D329" s="6"/>
      <c r="E329" s="6"/>
      <c r="F329" s="6"/>
      <c r="G329" s="6"/>
      <c r="H329" s="25"/>
      <c r="I329" s="25"/>
      <c r="J329" s="6"/>
      <c r="K329" s="6"/>
      <c r="L329" s="6"/>
      <c r="M329" s="6"/>
      <c r="N329" s="6"/>
      <c r="O329" s="6"/>
      <c r="P329" s="6"/>
      <c r="Q329" s="6"/>
      <c r="R329" s="6"/>
      <c r="S329" s="26"/>
      <c r="T329" s="26"/>
      <c r="U329" s="27"/>
      <c r="V329" s="6"/>
      <c r="W329" s="6"/>
      <c r="X329" s="6"/>
      <c r="Y329" s="6"/>
      <c r="Z329" s="6"/>
      <c r="AA329" s="6"/>
      <c r="AB329" s="6"/>
      <c r="AC329" s="6"/>
      <c r="AD329" s="6"/>
    </row>
    <row r="330">
      <c r="A330" s="6"/>
      <c r="B330" s="6"/>
      <c r="C330" s="6"/>
      <c r="D330" s="6"/>
      <c r="E330" s="6"/>
      <c r="F330" s="6"/>
      <c r="G330" s="6"/>
      <c r="H330" s="25"/>
      <c r="I330" s="25"/>
      <c r="J330" s="6"/>
      <c r="K330" s="6"/>
      <c r="L330" s="6"/>
      <c r="M330" s="6"/>
      <c r="N330" s="6"/>
      <c r="O330" s="6"/>
      <c r="P330" s="6"/>
      <c r="Q330" s="6"/>
      <c r="R330" s="6"/>
      <c r="S330" s="26"/>
      <c r="T330" s="26"/>
      <c r="U330" s="27"/>
      <c r="V330" s="6"/>
      <c r="W330" s="6"/>
      <c r="X330" s="6"/>
      <c r="Y330" s="6"/>
      <c r="Z330" s="6"/>
      <c r="AA330" s="6"/>
      <c r="AB330" s="6"/>
      <c r="AC330" s="6"/>
      <c r="AD330" s="6"/>
    </row>
    <row r="331">
      <c r="A331" s="6"/>
      <c r="B331" s="6"/>
      <c r="C331" s="6"/>
      <c r="D331" s="6"/>
      <c r="E331" s="6"/>
      <c r="F331" s="6"/>
      <c r="G331" s="6"/>
      <c r="H331" s="25"/>
      <c r="I331" s="25"/>
      <c r="J331" s="6"/>
      <c r="K331" s="6"/>
      <c r="L331" s="6"/>
      <c r="M331" s="6"/>
      <c r="N331" s="6"/>
      <c r="O331" s="6"/>
      <c r="P331" s="6"/>
      <c r="Q331" s="6"/>
      <c r="R331" s="6"/>
      <c r="S331" s="26"/>
      <c r="T331" s="26"/>
      <c r="U331" s="27"/>
      <c r="V331" s="6"/>
      <c r="W331" s="6"/>
      <c r="X331" s="6"/>
      <c r="Y331" s="6"/>
      <c r="Z331" s="6"/>
      <c r="AA331" s="6"/>
      <c r="AB331" s="6"/>
      <c r="AC331" s="6"/>
      <c r="AD331" s="6"/>
    </row>
    <row r="332">
      <c r="A332" s="6"/>
      <c r="B332" s="6"/>
      <c r="C332" s="6"/>
      <c r="D332" s="6"/>
      <c r="E332" s="6"/>
      <c r="F332" s="6"/>
      <c r="G332" s="6"/>
      <c r="H332" s="25"/>
      <c r="I332" s="25"/>
      <c r="J332" s="6"/>
      <c r="K332" s="6"/>
      <c r="L332" s="6"/>
      <c r="M332" s="6"/>
      <c r="N332" s="6"/>
      <c r="O332" s="6"/>
      <c r="P332" s="6"/>
      <c r="Q332" s="6"/>
      <c r="R332" s="6"/>
      <c r="S332" s="26"/>
      <c r="T332" s="26"/>
      <c r="U332" s="27"/>
      <c r="V332" s="6"/>
      <c r="W332" s="6"/>
      <c r="X332" s="6"/>
      <c r="Y332" s="6"/>
      <c r="Z332" s="6"/>
      <c r="AA332" s="6"/>
      <c r="AB332" s="6"/>
      <c r="AC332" s="6"/>
      <c r="AD332" s="6"/>
    </row>
    <row r="333">
      <c r="A333" s="6"/>
      <c r="B333" s="6"/>
      <c r="C333" s="6"/>
      <c r="D333" s="6"/>
      <c r="E333" s="6"/>
      <c r="F333" s="6"/>
      <c r="G333" s="6"/>
      <c r="H333" s="25"/>
      <c r="I333" s="25"/>
      <c r="J333" s="6"/>
      <c r="K333" s="6"/>
      <c r="L333" s="6"/>
      <c r="M333" s="6"/>
      <c r="N333" s="6"/>
      <c r="O333" s="6"/>
      <c r="P333" s="6"/>
      <c r="Q333" s="6"/>
      <c r="R333" s="6"/>
      <c r="S333" s="26"/>
      <c r="T333" s="26"/>
      <c r="U333" s="27"/>
      <c r="V333" s="6"/>
      <c r="W333" s="6"/>
      <c r="X333" s="6"/>
      <c r="Y333" s="6"/>
      <c r="Z333" s="6"/>
      <c r="AA333" s="6"/>
      <c r="AB333" s="6"/>
      <c r="AC333" s="6"/>
      <c r="AD333" s="6"/>
    </row>
    <row r="334">
      <c r="A334" s="6"/>
      <c r="B334" s="6"/>
      <c r="C334" s="6"/>
      <c r="D334" s="6"/>
      <c r="E334" s="6"/>
      <c r="F334" s="6"/>
      <c r="G334" s="6"/>
      <c r="H334" s="25"/>
      <c r="I334" s="25"/>
      <c r="J334" s="6"/>
      <c r="K334" s="6"/>
      <c r="L334" s="6"/>
      <c r="M334" s="6"/>
      <c r="N334" s="6"/>
      <c r="O334" s="6"/>
      <c r="P334" s="6"/>
      <c r="Q334" s="6"/>
      <c r="R334" s="6"/>
      <c r="S334" s="26"/>
      <c r="T334" s="26"/>
      <c r="U334" s="27"/>
      <c r="V334" s="6"/>
      <c r="W334" s="6"/>
      <c r="X334" s="6"/>
      <c r="Y334" s="6"/>
      <c r="Z334" s="6"/>
      <c r="AA334" s="6"/>
      <c r="AB334" s="6"/>
      <c r="AC334" s="6"/>
      <c r="AD334" s="6"/>
    </row>
    <row r="335">
      <c r="A335" s="6"/>
      <c r="B335" s="6"/>
      <c r="C335" s="6"/>
      <c r="D335" s="6"/>
      <c r="E335" s="6"/>
      <c r="F335" s="6"/>
      <c r="G335" s="6"/>
      <c r="H335" s="25"/>
      <c r="I335" s="25"/>
      <c r="J335" s="6"/>
      <c r="K335" s="6"/>
      <c r="L335" s="6"/>
      <c r="M335" s="6"/>
      <c r="N335" s="6"/>
      <c r="O335" s="6"/>
      <c r="P335" s="6"/>
      <c r="Q335" s="6"/>
      <c r="R335" s="6"/>
      <c r="S335" s="26"/>
      <c r="T335" s="26"/>
      <c r="U335" s="27"/>
      <c r="V335" s="6"/>
      <c r="W335" s="6"/>
      <c r="X335" s="6"/>
      <c r="Y335" s="6"/>
      <c r="Z335" s="6"/>
      <c r="AA335" s="6"/>
      <c r="AB335" s="6"/>
      <c r="AC335" s="6"/>
      <c r="AD335" s="6"/>
    </row>
    <row r="336">
      <c r="A336" s="6"/>
      <c r="B336" s="6"/>
      <c r="C336" s="6"/>
      <c r="D336" s="6"/>
      <c r="E336" s="6"/>
      <c r="F336" s="6"/>
      <c r="G336" s="6"/>
      <c r="H336" s="25"/>
      <c r="I336" s="25"/>
      <c r="J336" s="6"/>
      <c r="K336" s="6"/>
      <c r="L336" s="6"/>
      <c r="M336" s="6"/>
      <c r="N336" s="6"/>
      <c r="O336" s="6"/>
      <c r="P336" s="6"/>
      <c r="Q336" s="6"/>
      <c r="R336" s="6"/>
      <c r="S336" s="26"/>
      <c r="T336" s="26"/>
      <c r="U336" s="27"/>
      <c r="V336" s="6"/>
      <c r="W336" s="6"/>
      <c r="X336" s="6"/>
      <c r="Y336" s="6"/>
      <c r="Z336" s="6"/>
      <c r="AA336" s="6"/>
      <c r="AB336" s="6"/>
      <c r="AC336" s="6"/>
      <c r="AD336" s="6"/>
    </row>
    <row r="337">
      <c r="A337" s="6"/>
      <c r="B337" s="6"/>
      <c r="C337" s="6"/>
      <c r="D337" s="6"/>
      <c r="E337" s="6"/>
      <c r="F337" s="6"/>
      <c r="G337" s="6"/>
      <c r="H337" s="25"/>
      <c r="I337" s="25"/>
      <c r="J337" s="6"/>
      <c r="K337" s="6"/>
      <c r="L337" s="6"/>
      <c r="M337" s="6"/>
      <c r="N337" s="6"/>
      <c r="O337" s="6"/>
      <c r="P337" s="6"/>
      <c r="Q337" s="6"/>
      <c r="R337" s="6"/>
      <c r="S337" s="26"/>
      <c r="T337" s="26"/>
      <c r="U337" s="27"/>
      <c r="V337" s="6"/>
      <c r="W337" s="6"/>
      <c r="X337" s="6"/>
      <c r="Y337" s="6"/>
      <c r="Z337" s="6"/>
      <c r="AA337" s="6"/>
      <c r="AB337" s="6"/>
      <c r="AC337" s="6"/>
      <c r="AD337" s="6"/>
    </row>
    <row r="338">
      <c r="A338" s="6"/>
      <c r="B338" s="6"/>
      <c r="C338" s="6"/>
      <c r="D338" s="6"/>
      <c r="E338" s="6"/>
      <c r="F338" s="6"/>
      <c r="G338" s="6"/>
      <c r="H338" s="25"/>
      <c r="I338" s="25"/>
      <c r="J338" s="6"/>
      <c r="K338" s="6"/>
      <c r="L338" s="6"/>
      <c r="M338" s="6"/>
      <c r="N338" s="6"/>
      <c r="O338" s="6"/>
      <c r="P338" s="6"/>
      <c r="Q338" s="6"/>
      <c r="R338" s="6"/>
      <c r="S338" s="26"/>
      <c r="T338" s="26"/>
      <c r="U338" s="27"/>
      <c r="V338" s="6"/>
      <c r="W338" s="6"/>
      <c r="X338" s="6"/>
      <c r="Y338" s="6"/>
      <c r="Z338" s="6"/>
      <c r="AA338" s="6"/>
      <c r="AB338" s="6"/>
      <c r="AC338" s="6"/>
      <c r="AD338" s="6"/>
    </row>
    <row r="339">
      <c r="A339" s="6"/>
      <c r="B339" s="6"/>
      <c r="C339" s="6"/>
      <c r="D339" s="6"/>
      <c r="E339" s="6"/>
      <c r="F339" s="6"/>
      <c r="G339" s="6"/>
      <c r="H339" s="25"/>
      <c r="I339" s="25"/>
      <c r="J339" s="6"/>
      <c r="K339" s="6"/>
      <c r="L339" s="6"/>
      <c r="M339" s="6"/>
      <c r="N339" s="6"/>
      <c r="O339" s="6"/>
      <c r="P339" s="6"/>
      <c r="Q339" s="6"/>
      <c r="R339" s="6"/>
      <c r="S339" s="26"/>
      <c r="T339" s="26"/>
      <c r="U339" s="27"/>
      <c r="V339" s="6"/>
      <c r="W339" s="6"/>
      <c r="X339" s="6"/>
      <c r="Y339" s="6"/>
      <c r="Z339" s="6"/>
      <c r="AA339" s="6"/>
      <c r="AB339" s="6"/>
      <c r="AC339" s="6"/>
      <c r="AD339" s="6"/>
    </row>
    <row r="340">
      <c r="A340" s="6"/>
      <c r="B340" s="6"/>
      <c r="C340" s="6"/>
      <c r="D340" s="6"/>
      <c r="E340" s="6"/>
      <c r="F340" s="6"/>
      <c r="G340" s="6"/>
      <c r="H340" s="25"/>
      <c r="I340" s="25"/>
      <c r="J340" s="6"/>
      <c r="K340" s="6"/>
      <c r="L340" s="6"/>
      <c r="M340" s="6"/>
      <c r="N340" s="6"/>
      <c r="O340" s="6"/>
      <c r="P340" s="6"/>
      <c r="Q340" s="6"/>
      <c r="R340" s="6"/>
      <c r="S340" s="26"/>
      <c r="T340" s="26"/>
      <c r="U340" s="27"/>
      <c r="V340" s="6"/>
      <c r="W340" s="6"/>
      <c r="X340" s="6"/>
      <c r="Y340" s="6"/>
      <c r="Z340" s="6"/>
      <c r="AA340" s="6"/>
      <c r="AB340" s="6"/>
      <c r="AC340" s="6"/>
      <c r="AD340" s="6"/>
    </row>
    <row r="341">
      <c r="A341" s="6"/>
      <c r="B341" s="6"/>
      <c r="C341" s="6"/>
      <c r="D341" s="6"/>
      <c r="E341" s="6"/>
      <c r="F341" s="6"/>
      <c r="G341" s="6"/>
      <c r="H341" s="25"/>
      <c r="I341" s="25"/>
      <c r="J341" s="6"/>
      <c r="K341" s="6"/>
      <c r="L341" s="6"/>
      <c r="M341" s="6"/>
      <c r="N341" s="6"/>
      <c r="O341" s="6"/>
      <c r="P341" s="6"/>
      <c r="Q341" s="6"/>
      <c r="R341" s="6"/>
      <c r="S341" s="26"/>
      <c r="T341" s="26"/>
      <c r="U341" s="27"/>
      <c r="V341" s="6"/>
      <c r="W341" s="6"/>
      <c r="X341" s="6"/>
      <c r="Y341" s="6"/>
      <c r="Z341" s="6"/>
      <c r="AA341" s="6"/>
      <c r="AB341" s="6"/>
      <c r="AC341" s="6"/>
      <c r="AD341" s="6"/>
    </row>
    <row r="342">
      <c r="A342" s="6"/>
      <c r="B342" s="6"/>
      <c r="C342" s="6"/>
      <c r="D342" s="6"/>
      <c r="E342" s="6"/>
      <c r="F342" s="6"/>
      <c r="G342" s="6"/>
      <c r="H342" s="25"/>
      <c r="I342" s="25"/>
      <c r="J342" s="6"/>
      <c r="K342" s="6"/>
      <c r="L342" s="6"/>
      <c r="M342" s="6"/>
      <c r="N342" s="6"/>
      <c r="O342" s="6"/>
      <c r="P342" s="6"/>
      <c r="Q342" s="6"/>
      <c r="R342" s="6"/>
      <c r="S342" s="26"/>
      <c r="T342" s="26"/>
      <c r="U342" s="27"/>
      <c r="V342" s="6"/>
      <c r="W342" s="6"/>
      <c r="X342" s="6"/>
      <c r="Y342" s="6"/>
      <c r="Z342" s="6"/>
      <c r="AA342" s="6"/>
      <c r="AB342" s="6"/>
      <c r="AC342" s="6"/>
      <c r="AD342" s="6"/>
    </row>
    <row r="343">
      <c r="A343" s="6"/>
      <c r="B343" s="6"/>
      <c r="C343" s="6"/>
      <c r="D343" s="6"/>
      <c r="E343" s="6"/>
      <c r="F343" s="6"/>
      <c r="G343" s="6"/>
      <c r="H343" s="25"/>
      <c r="I343" s="25"/>
      <c r="J343" s="6"/>
      <c r="K343" s="6"/>
      <c r="L343" s="6"/>
      <c r="M343" s="6"/>
      <c r="N343" s="6"/>
      <c r="O343" s="6"/>
      <c r="P343" s="6"/>
      <c r="Q343" s="6"/>
      <c r="R343" s="6"/>
      <c r="S343" s="26"/>
      <c r="T343" s="26"/>
      <c r="U343" s="27"/>
      <c r="V343" s="6"/>
      <c r="W343" s="6"/>
      <c r="X343" s="6"/>
      <c r="Y343" s="6"/>
      <c r="Z343" s="6"/>
      <c r="AA343" s="6"/>
      <c r="AB343" s="6"/>
      <c r="AC343" s="6"/>
      <c r="AD343" s="6"/>
    </row>
    <row r="344">
      <c r="A344" s="6"/>
      <c r="B344" s="6"/>
      <c r="C344" s="6"/>
      <c r="D344" s="6"/>
      <c r="E344" s="6"/>
      <c r="F344" s="6"/>
      <c r="G344" s="6"/>
      <c r="H344" s="25"/>
      <c r="I344" s="25"/>
      <c r="J344" s="6"/>
      <c r="K344" s="6"/>
      <c r="L344" s="6"/>
      <c r="M344" s="6"/>
      <c r="N344" s="6"/>
      <c r="O344" s="6"/>
      <c r="P344" s="6"/>
      <c r="Q344" s="6"/>
      <c r="R344" s="6"/>
      <c r="S344" s="26"/>
      <c r="T344" s="26"/>
      <c r="U344" s="27"/>
      <c r="V344" s="6"/>
      <c r="W344" s="6"/>
      <c r="X344" s="6"/>
      <c r="Y344" s="6"/>
      <c r="Z344" s="6"/>
      <c r="AA344" s="6"/>
      <c r="AB344" s="6"/>
      <c r="AC344" s="6"/>
      <c r="AD344" s="6"/>
    </row>
    <row r="345">
      <c r="A345" s="6"/>
      <c r="B345" s="6"/>
      <c r="C345" s="6"/>
      <c r="D345" s="6"/>
      <c r="E345" s="6"/>
      <c r="F345" s="6"/>
      <c r="G345" s="6"/>
      <c r="H345" s="25"/>
      <c r="I345" s="25"/>
      <c r="J345" s="6"/>
      <c r="K345" s="6"/>
      <c r="L345" s="6"/>
      <c r="M345" s="6"/>
      <c r="N345" s="6"/>
      <c r="O345" s="6"/>
      <c r="P345" s="6"/>
      <c r="Q345" s="6"/>
      <c r="R345" s="6"/>
      <c r="S345" s="26"/>
      <c r="T345" s="26"/>
      <c r="U345" s="27"/>
      <c r="V345" s="6"/>
      <c r="W345" s="6"/>
      <c r="X345" s="6"/>
      <c r="Y345" s="6"/>
      <c r="Z345" s="6"/>
      <c r="AA345" s="6"/>
      <c r="AB345" s="6"/>
      <c r="AC345" s="6"/>
      <c r="AD345" s="6"/>
    </row>
    <row r="346">
      <c r="A346" s="6"/>
      <c r="B346" s="6"/>
      <c r="C346" s="6"/>
      <c r="D346" s="6"/>
      <c r="E346" s="6"/>
      <c r="F346" s="6"/>
      <c r="G346" s="6"/>
      <c r="H346" s="25"/>
      <c r="I346" s="25"/>
      <c r="J346" s="6"/>
      <c r="K346" s="6"/>
      <c r="L346" s="6"/>
      <c r="M346" s="6"/>
      <c r="N346" s="6"/>
      <c r="O346" s="6"/>
      <c r="P346" s="6"/>
      <c r="Q346" s="6"/>
      <c r="R346" s="6"/>
      <c r="S346" s="26"/>
      <c r="T346" s="26"/>
      <c r="U346" s="27"/>
      <c r="V346" s="6"/>
      <c r="W346" s="6"/>
      <c r="X346" s="6"/>
      <c r="Y346" s="6"/>
      <c r="Z346" s="6"/>
      <c r="AA346" s="6"/>
      <c r="AB346" s="6"/>
      <c r="AC346" s="6"/>
      <c r="AD346" s="6"/>
    </row>
    <row r="347">
      <c r="A347" s="6"/>
      <c r="B347" s="6"/>
      <c r="C347" s="6"/>
      <c r="D347" s="6"/>
      <c r="E347" s="6"/>
      <c r="F347" s="6"/>
      <c r="G347" s="6"/>
      <c r="H347" s="25"/>
      <c r="I347" s="25"/>
      <c r="J347" s="6"/>
      <c r="K347" s="6"/>
      <c r="L347" s="6"/>
      <c r="M347" s="6"/>
      <c r="N347" s="6"/>
      <c r="O347" s="6"/>
      <c r="P347" s="6"/>
      <c r="Q347" s="6"/>
      <c r="R347" s="6"/>
      <c r="S347" s="26"/>
      <c r="T347" s="26"/>
      <c r="U347" s="27"/>
      <c r="V347" s="6"/>
      <c r="W347" s="6"/>
      <c r="X347" s="6"/>
      <c r="Y347" s="6"/>
      <c r="Z347" s="6"/>
      <c r="AA347" s="6"/>
      <c r="AB347" s="6"/>
      <c r="AC347" s="6"/>
      <c r="AD347" s="6"/>
    </row>
    <row r="348">
      <c r="A348" s="6"/>
      <c r="B348" s="6"/>
      <c r="C348" s="6"/>
      <c r="D348" s="6"/>
      <c r="E348" s="6"/>
      <c r="F348" s="6"/>
      <c r="G348" s="6"/>
      <c r="H348" s="25"/>
      <c r="I348" s="25"/>
      <c r="J348" s="6"/>
      <c r="K348" s="6"/>
      <c r="L348" s="6"/>
      <c r="M348" s="6"/>
      <c r="N348" s="6"/>
      <c r="O348" s="6"/>
      <c r="P348" s="6"/>
      <c r="Q348" s="6"/>
      <c r="R348" s="6"/>
      <c r="S348" s="26"/>
      <c r="T348" s="26"/>
      <c r="U348" s="27"/>
      <c r="V348" s="6"/>
      <c r="W348" s="6"/>
      <c r="X348" s="6"/>
      <c r="Y348" s="6"/>
      <c r="Z348" s="6"/>
      <c r="AA348" s="6"/>
      <c r="AB348" s="6"/>
      <c r="AC348" s="6"/>
      <c r="AD348" s="6"/>
    </row>
    <row r="349">
      <c r="A349" s="6"/>
      <c r="B349" s="6"/>
      <c r="C349" s="6"/>
      <c r="D349" s="6"/>
      <c r="E349" s="6"/>
      <c r="F349" s="6"/>
      <c r="G349" s="6"/>
      <c r="H349" s="25"/>
      <c r="I349" s="25"/>
      <c r="J349" s="6"/>
      <c r="K349" s="6"/>
      <c r="L349" s="6"/>
      <c r="M349" s="6"/>
      <c r="N349" s="6"/>
      <c r="O349" s="6"/>
      <c r="P349" s="6"/>
      <c r="Q349" s="6"/>
      <c r="R349" s="6"/>
      <c r="S349" s="26"/>
      <c r="T349" s="26"/>
      <c r="U349" s="27"/>
      <c r="V349" s="6"/>
      <c r="W349" s="6"/>
      <c r="X349" s="6"/>
      <c r="Y349" s="6"/>
      <c r="Z349" s="6"/>
      <c r="AA349" s="6"/>
      <c r="AB349" s="6"/>
      <c r="AC349" s="6"/>
      <c r="AD349" s="6"/>
    </row>
    <row r="350">
      <c r="A350" s="6"/>
      <c r="B350" s="6"/>
      <c r="C350" s="6"/>
      <c r="D350" s="6"/>
      <c r="E350" s="6"/>
      <c r="F350" s="6"/>
      <c r="G350" s="6"/>
      <c r="H350" s="25"/>
      <c r="I350" s="25"/>
      <c r="J350" s="6"/>
      <c r="K350" s="6"/>
      <c r="L350" s="6"/>
      <c r="M350" s="6"/>
      <c r="N350" s="6"/>
      <c r="O350" s="6"/>
      <c r="P350" s="6"/>
      <c r="Q350" s="6"/>
      <c r="R350" s="6"/>
      <c r="S350" s="26"/>
      <c r="T350" s="26"/>
      <c r="U350" s="27"/>
      <c r="V350" s="6"/>
      <c r="W350" s="6"/>
      <c r="X350" s="6"/>
      <c r="Y350" s="6"/>
      <c r="Z350" s="6"/>
      <c r="AA350" s="6"/>
      <c r="AB350" s="6"/>
      <c r="AC350" s="6"/>
      <c r="AD350" s="6"/>
    </row>
    <row r="351">
      <c r="A351" s="6"/>
      <c r="B351" s="6"/>
      <c r="C351" s="6"/>
      <c r="D351" s="6"/>
      <c r="E351" s="6"/>
      <c r="F351" s="6"/>
      <c r="G351" s="6"/>
      <c r="H351" s="25"/>
      <c r="I351" s="25"/>
      <c r="J351" s="6"/>
      <c r="K351" s="6"/>
      <c r="L351" s="6"/>
      <c r="M351" s="6"/>
      <c r="N351" s="6"/>
      <c r="O351" s="6"/>
      <c r="P351" s="6"/>
      <c r="Q351" s="6"/>
      <c r="R351" s="6"/>
      <c r="S351" s="26"/>
      <c r="T351" s="26"/>
      <c r="U351" s="27"/>
      <c r="V351" s="6"/>
      <c r="W351" s="6"/>
      <c r="X351" s="6"/>
      <c r="Y351" s="6"/>
      <c r="Z351" s="6"/>
      <c r="AA351" s="6"/>
      <c r="AB351" s="6"/>
      <c r="AC351" s="6"/>
      <c r="AD351" s="6"/>
    </row>
    <row r="352">
      <c r="A352" s="6"/>
      <c r="B352" s="6"/>
      <c r="C352" s="6"/>
      <c r="D352" s="6"/>
      <c r="E352" s="6"/>
      <c r="F352" s="6"/>
      <c r="G352" s="6"/>
      <c r="H352" s="25"/>
      <c r="I352" s="25"/>
      <c r="J352" s="6"/>
      <c r="K352" s="6"/>
      <c r="L352" s="6"/>
      <c r="M352" s="6"/>
      <c r="N352" s="6"/>
      <c r="O352" s="6"/>
      <c r="P352" s="6"/>
      <c r="Q352" s="6"/>
      <c r="R352" s="6"/>
      <c r="S352" s="26"/>
      <c r="T352" s="26"/>
      <c r="U352" s="27"/>
      <c r="V352" s="6"/>
      <c r="W352" s="6"/>
      <c r="X352" s="6"/>
      <c r="Y352" s="6"/>
      <c r="Z352" s="6"/>
      <c r="AA352" s="6"/>
      <c r="AB352" s="6"/>
      <c r="AC352" s="6"/>
      <c r="AD352" s="6"/>
    </row>
    <row r="353">
      <c r="A353" s="6"/>
      <c r="B353" s="6"/>
      <c r="C353" s="6"/>
      <c r="D353" s="6"/>
      <c r="E353" s="6"/>
      <c r="F353" s="6"/>
      <c r="G353" s="6"/>
      <c r="H353" s="25"/>
      <c r="I353" s="25"/>
      <c r="J353" s="6"/>
      <c r="K353" s="6"/>
      <c r="L353" s="6"/>
      <c r="M353" s="6"/>
      <c r="N353" s="6"/>
      <c r="O353" s="6"/>
      <c r="P353" s="6"/>
      <c r="Q353" s="6"/>
      <c r="R353" s="6"/>
      <c r="S353" s="26"/>
      <c r="T353" s="26"/>
      <c r="U353" s="27"/>
      <c r="V353" s="6"/>
      <c r="W353" s="6"/>
      <c r="X353" s="6"/>
      <c r="Y353" s="6"/>
      <c r="Z353" s="6"/>
      <c r="AA353" s="6"/>
      <c r="AB353" s="6"/>
      <c r="AC353" s="6"/>
      <c r="AD353" s="6"/>
    </row>
    <row r="354">
      <c r="A354" s="6"/>
      <c r="B354" s="6"/>
      <c r="C354" s="6"/>
      <c r="D354" s="6"/>
      <c r="E354" s="6"/>
      <c r="F354" s="6"/>
      <c r="G354" s="6"/>
      <c r="H354" s="25"/>
      <c r="I354" s="25"/>
      <c r="J354" s="6"/>
      <c r="K354" s="6"/>
      <c r="L354" s="6"/>
      <c r="M354" s="6"/>
      <c r="N354" s="6"/>
      <c r="O354" s="6"/>
      <c r="P354" s="6"/>
      <c r="Q354" s="6"/>
      <c r="R354" s="6"/>
      <c r="S354" s="26"/>
      <c r="T354" s="26"/>
      <c r="U354" s="27"/>
      <c r="V354" s="6"/>
      <c r="W354" s="6"/>
      <c r="X354" s="6"/>
      <c r="Y354" s="6"/>
      <c r="Z354" s="6"/>
      <c r="AA354" s="6"/>
      <c r="AB354" s="6"/>
      <c r="AC354" s="6"/>
      <c r="AD354" s="6"/>
    </row>
    <row r="355">
      <c r="A355" s="6"/>
      <c r="B355" s="6"/>
      <c r="C355" s="6"/>
      <c r="D355" s="6"/>
      <c r="E355" s="6"/>
      <c r="F355" s="6"/>
      <c r="G355" s="6"/>
      <c r="H355" s="25"/>
      <c r="I355" s="25"/>
      <c r="J355" s="6"/>
      <c r="K355" s="6"/>
      <c r="L355" s="6"/>
      <c r="M355" s="6"/>
      <c r="N355" s="6"/>
      <c r="O355" s="6"/>
      <c r="P355" s="6"/>
      <c r="Q355" s="6"/>
      <c r="R355" s="6"/>
      <c r="S355" s="26"/>
      <c r="T355" s="26"/>
      <c r="U355" s="27"/>
      <c r="V355" s="6"/>
      <c r="W355" s="6"/>
      <c r="X355" s="6"/>
      <c r="Y355" s="6"/>
      <c r="Z355" s="6"/>
      <c r="AA355" s="6"/>
      <c r="AB355" s="6"/>
      <c r="AC355" s="6"/>
      <c r="AD355" s="6"/>
    </row>
    <row r="356">
      <c r="A356" s="6"/>
      <c r="B356" s="6"/>
      <c r="C356" s="6"/>
      <c r="D356" s="6"/>
      <c r="E356" s="6"/>
      <c r="F356" s="6"/>
      <c r="G356" s="6"/>
      <c r="H356" s="25"/>
      <c r="I356" s="25"/>
      <c r="J356" s="6"/>
      <c r="K356" s="6"/>
      <c r="L356" s="6"/>
      <c r="M356" s="6"/>
      <c r="N356" s="6"/>
      <c r="O356" s="6"/>
      <c r="P356" s="6"/>
      <c r="Q356" s="6"/>
      <c r="R356" s="6"/>
      <c r="S356" s="26"/>
      <c r="T356" s="26"/>
      <c r="U356" s="27"/>
      <c r="V356" s="6"/>
      <c r="W356" s="6"/>
      <c r="X356" s="6"/>
      <c r="Y356" s="6"/>
      <c r="Z356" s="6"/>
      <c r="AA356" s="6"/>
      <c r="AB356" s="6"/>
      <c r="AC356" s="6"/>
      <c r="AD356" s="6"/>
    </row>
    <row r="357">
      <c r="A357" s="6"/>
      <c r="B357" s="6"/>
      <c r="C357" s="6"/>
      <c r="D357" s="6"/>
      <c r="E357" s="6"/>
      <c r="F357" s="6"/>
      <c r="G357" s="6"/>
      <c r="H357" s="25"/>
      <c r="I357" s="25"/>
      <c r="J357" s="6"/>
      <c r="K357" s="6"/>
      <c r="L357" s="6"/>
      <c r="M357" s="6"/>
      <c r="N357" s="6"/>
      <c r="O357" s="6"/>
      <c r="P357" s="6"/>
      <c r="Q357" s="6"/>
      <c r="R357" s="6"/>
      <c r="S357" s="26"/>
      <c r="T357" s="26"/>
      <c r="U357" s="27"/>
      <c r="V357" s="6"/>
      <c r="W357" s="6"/>
      <c r="X357" s="6"/>
      <c r="Y357" s="6"/>
      <c r="Z357" s="6"/>
      <c r="AA357" s="6"/>
      <c r="AB357" s="6"/>
      <c r="AC357" s="6"/>
      <c r="AD357" s="6"/>
    </row>
    <row r="358">
      <c r="A358" s="6"/>
      <c r="B358" s="6"/>
      <c r="C358" s="6"/>
      <c r="D358" s="6"/>
      <c r="E358" s="6"/>
      <c r="F358" s="6"/>
      <c r="G358" s="6"/>
      <c r="H358" s="25"/>
      <c r="I358" s="25"/>
      <c r="J358" s="6"/>
      <c r="K358" s="6"/>
      <c r="L358" s="6"/>
      <c r="M358" s="6"/>
      <c r="N358" s="6"/>
      <c r="O358" s="6"/>
      <c r="P358" s="6"/>
      <c r="Q358" s="6"/>
      <c r="R358" s="6"/>
      <c r="S358" s="26"/>
      <c r="T358" s="26"/>
      <c r="U358" s="27"/>
      <c r="V358" s="6"/>
      <c r="W358" s="6"/>
      <c r="X358" s="6"/>
      <c r="Y358" s="6"/>
      <c r="Z358" s="6"/>
      <c r="AA358" s="6"/>
      <c r="AB358" s="6"/>
      <c r="AC358" s="6"/>
      <c r="AD358" s="6"/>
    </row>
    <row r="359">
      <c r="A359" s="6"/>
      <c r="B359" s="6"/>
      <c r="C359" s="6"/>
      <c r="D359" s="6"/>
      <c r="E359" s="6"/>
      <c r="F359" s="6"/>
      <c r="G359" s="6"/>
      <c r="H359" s="25"/>
      <c r="I359" s="25"/>
      <c r="J359" s="6"/>
      <c r="K359" s="6"/>
      <c r="L359" s="6"/>
      <c r="M359" s="6"/>
      <c r="N359" s="6"/>
      <c r="O359" s="6"/>
      <c r="P359" s="6"/>
      <c r="Q359" s="6"/>
      <c r="R359" s="6"/>
      <c r="S359" s="26"/>
      <c r="T359" s="26"/>
      <c r="U359" s="27"/>
      <c r="V359" s="6"/>
      <c r="W359" s="6"/>
      <c r="X359" s="6"/>
      <c r="Y359" s="6"/>
      <c r="Z359" s="6"/>
      <c r="AA359" s="6"/>
      <c r="AB359" s="6"/>
      <c r="AC359" s="6"/>
      <c r="AD359" s="6"/>
    </row>
    <row r="360">
      <c r="A360" s="6"/>
      <c r="B360" s="6"/>
      <c r="C360" s="6"/>
      <c r="D360" s="6"/>
      <c r="E360" s="6"/>
      <c r="F360" s="6"/>
      <c r="G360" s="6"/>
      <c r="H360" s="25"/>
      <c r="I360" s="25"/>
      <c r="J360" s="6"/>
      <c r="K360" s="6"/>
      <c r="L360" s="6"/>
      <c r="M360" s="6"/>
      <c r="N360" s="6"/>
      <c r="O360" s="6"/>
      <c r="P360" s="6"/>
      <c r="Q360" s="6"/>
      <c r="R360" s="6"/>
      <c r="S360" s="26"/>
      <c r="T360" s="26"/>
      <c r="U360" s="27"/>
      <c r="V360" s="6"/>
      <c r="W360" s="6"/>
      <c r="X360" s="6"/>
      <c r="Y360" s="6"/>
      <c r="Z360" s="6"/>
      <c r="AA360" s="6"/>
      <c r="AB360" s="6"/>
      <c r="AC360" s="6"/>
      <c r="AD360" s="6"/>
    </row>
    <row r="361">
      <c r="A361" s="6"/>
      <c r="B361" s="6"/>
      <c r="C361" s="6"/>
      <c r="D361" s="6"/>
      <c r="E361" s="6"/>
      <c r="F361" s="6"/>
      <c r="G361" s="6"/>
      <c r="H361" s="25"/>
      <c r="I361" s="25"/>
      <c r="J361" s="6"/>
      <c r="K361" s="6"/>
      <c r="L361" s="6"/>
      <c r="M361" s="6"/>
      <c r="N361" s="6"/>
      <c r="O361" s="6"/>
      <c r="P361" s="6"/>
      <c r="Q361" s="6"/>
      <c r="R361" s="6"/>
      <c r="S361" s="26"/>
      <c r="T361" s="26"/>
      <c r="U361" s="27"/>
      <c r="V361" s="6"/>
      <c r="W361" s="6"/>
      <c r="X361" s="6"/>
      <c r="Y361" s="6"/>
      <c r="Z361" s="6"/>
      <c r="AA361" s="6"/>
      <c r="AB361" s="6"/>
      <c r="AC361" s="6"/>
      <c r="AD361" s="6"/>
    </row>
    <row r="362">
      <c r="A362" s="6"/>
      <c r="B362" s="6"/>
      <c r="C362" s="6"/>
      <c r="D362" s="6"/>
      <c r="E362" s="6"/>
      <c r="F362" s="6"/>
      <c r="G362" s="6"/>
      <c r="H362" s="25"/>
      <c r="I362" s="25"/>
      <c r="J362" s="6"/>
      <c r="K362" s="6"/>
      <c r="L362" s="6"/>
      <c r="M362" s="6"/>
      <c r="N362" s="6"/>
      <c r="O362" s="6"/>
      <c r="P362" s="6"/>
      <c r="Q362" s="6"/>
      <c r="R362" s="6"/>
      <c r="S362" s="26"/>
      <c r="T362" s="26"/>
      <c r="U362" s="27"/>
      <c r="V362" s="6"/>
      <c r="W362" s="6"/>
      <c r="X362" s="6"/>
      <c r="Y362" s="6"/>
      <c r="Z362" s="6"/>
      <c r="AA362" s="6"/>
      <c r="AB362" s="6"/>
      <c r="AC362" s="6"/>
      <c r="AD362" s="6"/>
    </row>
    <row r="363">
      <c r="A363" s="6"/>
      <c r="B363" s="6"/>
      <c r="C363" s="6"/>
      <c r="D363" s="6"/>
      <c r="E363" s="6"/>
      <c r="F363" s="6"/>
      <c r="G363" s="6"/>
      <c r="H363" s="25"/>
      <c r="I363" s="25"/>
      <c r="J363" s="6"/>
      <c r="K363" s="6"/>
      <c r="L363" s="6"/>
      <c r="M363" s="6"/>
      <c r="N363" s="6"/>
      <c r="O363" s="6"/>
      <c r="P363" s="6"/>
      <c r="Q363" s="6"/>
      <c r="R363" s="6"/>
      <c r="S363" s="26"/>
      <c r="T363" s="26"/>
      <c r="U363" s="27"/>
      <c r="V363" s="6"/>
      <c r="W363" s="6"/>
      <c r="X363" s="6"/>
      <c r="Y363" s="6"/>
      <c r="Z363" s="6"/>
      <c r="AA363" s="6"/>
      <c r="AB363" s="6"/>
      <c r="AC363" s="6"/>
      <c r="AD363" s="6"/>
    </row>
    <row r="364">
      <c r="A364" s="6"/>
      <c r="B364" s="6"/>
      <c r="C364" s="6"/>
      <c r="D364" s="6"/>
      <c r="E364" s="6"/>
      <c r="F364" s="6"/>
      <c r="G364" s="6"/>
      <c r="H364" s="25"/>
      <c r="I364" s="25"/>
      <c r="J364" s="6"/>
      <c r="K364" s="6"/>
      <c r="L364" s="6"/>
      <c r="M364" s="6"/>
      <c r="N364" s="6"/>
      <c r="O364" s="6"/>
      <c r="P364" s="6"/>
      <c r="Q364" s="6"/>
      <c r="R364" s="6"/>
      <c r="S364" s="26"/>
      <c r="T364" s="26"/>
      <c r="U364" s="27"/>
      <c r="V364" s="6"/>
      <c r="W364" s="6"/>
      <c r="X364" s="6"/>
      <c r="Y364" s="6"/>
      <c r="Z364" s="6"/>
      <c r="AA364" s="6"/>
      <c r="AB364" s="6"/>
      <c r="AC364" s="6"/>
      <c r="AD364" s="6"/>
    </row>
    <row r="365">
      <c r="A365" s="6"/>
      <c r="B365" s="6"/>
      <c r="C365" s="6"/>
      <c r="D365" s="6"/>
      <c r="E365" s="6"/>
      <c r="F365" s="6"/>
      <c r="G365" s="6"/>
      <c r="H365" s="25"/>
      <c r="I365" s="25"/>
      <c r="J365" s="6"/>
      <c r="K365" s="6"/>
      <c r="L365" s="6"/>
      <c r="M365" s="6"/>
      <c r="N365" s="6"/>
      <c r="O365" s="6"/>
      <c r="P365" s="6"/>
      <c r="Q365" s="6"/>
      <c r="R365" s="6"/>
      <c r="S365" s="26"/>
      <c r="T365" s="26"/>
      <c r="U365" s="27"/>
      <c r="V365" s="6"/>
      <c r="W365" s="6"/>
      <c r="X365" s="6"/>
      <c r="Y365" s="6"/>
      <c r="Z365" s="6"/>
      <c r="AA365" s="6"/>
      <c r="AB365" s="6"/>
      <c r="AC365" s="6"/>
      <c r="AD365" s="6"/>
    </row>
    <row r="366">
      <c r="A366" s="6"/>
      <c r="B366" s="6"/>
      <c r="C366" s="6"/>
      <c r="D366" s="6"/>
      <c r="E366" s="6"/>
      <c r="F366" s="6"/>
      <c r="G366" s="6"/>
      <c r="H366" s="25"/>
      <c r="I366" s="25"/>
      <c r="J366" s="6"/>
      <c r="K366" s="6"/>
      <c r="L366" s="6"/>
      <c r="M366" s="6"/>
      <c r="N366" s="6"/>
      <c r="O366" s="6"/>
      <c r="P366" s="6"/>
      <c r="Q366" s="6"/>
      <c r="R366" s="6"/>
      <c r="S366" s="26"/>
      <c r="T366" s="26"/>
      <c r="U366" s="27"/>
      <c r="V366" s="6"/>
      <c r="W366" s="6"/>
      <c r="X366" s="6"/>
      <c r="Y366" s="6"/>
      <c r="Z366" s="6"/>
      <c r="AA366" s="6"/>
      <c r="AB366" s="6"/>
      <c r="AC366" s="6"/>
      <c r="AD366" s="6"/>
    </row>
    <row r="367">
      <c r="A367" s="6"/>
      <c r="B367" s="6"/>
      <c r="C367" s="6"/>
      <c r="D367" s="6"/>
      <c r="E367" s="6"/>
      <c r="F367" s="6"/>
      <c r="G367" s="6"/>
      <c r="H367" s="25"/>
      <c r="I367" s="25"/>
      <c r="J367" s="6"/>
      <c r="K367" s="6"/>
      <c r="L367" s="6"/>
      <c r="M367" s="6"/>
      <c r="N367" s="6"/>
      <c r="O367" s="6"/>
      <c r="P367" s="6"/>
      <c r="Q367" s="6"/>
      <c r="R367" s="6"/>
      <c r="S367" s="26"/>
      <c r="T367" s="26"/>
      <c r="U367" s="27"/>
      <c r="V367" s="6"/>
      <c r="W367" s="6"/>
      <c r="X367" s="6"/>
      <c r="Y367" s="6"/>
      <c r="Z367" s="6"/>
      <c r="AA367" s="6"/>
      <c r="AB367" s="6"/>
      <c r="AC367" s="6"/>
      <c r="AD367" s="6"/>
    </row>
    <row r="368">
      <c r="A368" s="6"/>
      <c r="B368" s="6"/>
      <c r="C368" s="6"/>
      <c r="D368" s="6"/>
      <c r="E368" s="6"/>
      <c r="F368" s="6"/>
      <c r="G368" s="6"/>
      <c r="H368" s="25"/>
      <c r="I368" s="25"/>
      <c r="J368" s="6"/>
      <c r="K368" s="6"/>
      <c r="L368" s="6"/>
      <c r="M368" s="6"/>
      <c r="N368" s="6"/>
      <c r="O368" s="6"/>
      <c r="P368" s="6"/>
      <c r="Q368" s="6"/>
      <c r="R368" s="6"/>
      <c r="S368" s="26"/>
      <c r="T368" s="26"/>
      <c r="U368" s="27"/>
      <c r="V368" s="6"/>
      <c r="W368" s="6"/>
      <c r="X368" s="6"/>
      <c r="Y368" s="6"/>
      <c r="Z368" s="6"/>
      <c r="AA368" s="6"/>
      <c r="AB368" s="6"/>
      <c r="AC368" s="6"/>
      <c r="AD368" s="6"/>
    </row>
    <row r="369">
      <c r="A369" s="6"/>
      <c r="B369" s="6"/>
      <c r="C369" s="6"/>
      <c r="D369" s="6"/>
      <c r="E369" s="6"/>
      <c r="F369" s="6"/>
      <c r="G369" s="6"/>
      <c r="H369" s="25"/>
      <c r="I369" s="25"/>
      <c r="J369" s="6"/>
      <c r="K369" s="6"/>
      <c r="L369" s="6"/>
      <c r="M369" s="6"/>
      <c r="N369" s="6"/>
      <c r="O369" s="6"/>
      <c r="P369" s="6"/>
      <c r="Q369" s="6"/>
      <c r="R369" s="6"/>
      <c r="S369" s="26"/>
      <c r="T369" s="26"/>
      <c r="U369" s="27"/>
      <c r="V369" s="6"/>
      <c r="W369" s="6"/>
      <c r="X369" s="6"/>
      <c r="Y369" s="6"/>
      <c r="Z369" s="6"/>
      <c r="AA369" s="6"/>
      <c r="AB369" s="6"/>
      <c r="AC369" s="6"/>
      <c r="AD369" s="6"/>
    </row>
    <row r="370">
      <c r="A370" s="6"/>
      <c r="B370" s="6"/>
      <c r="C370" s="6"/>
      <c r="D370" s="6"/>
      <c r="E370" s="6"/>
      <c r="F370" s="6"/>
      <c r="G370" s="6"/>
      <c r="H370" s="25"/>
      <c r="I370" s="25"/>
      <c r="J370" s="6"/>
      <c r="K370" s="6"/>
      <c r="L370" s="6"/>
      <c r="M370" s="6"/>
      <c r="N370" s="6"/>
      <c r="O370" s="6"/>
      <c r="P370" s="6"/>
      <c r="Q370" s="6"/>
      <c r="R370" s="6"/>
      <c r="S370" s="26"/>
      <c r="T370" s="26"/>
      <c r="U370" s="27"/>
      <c r="V370" s="6"/>
      <c r="W370" s="6"/>
      <c r="X370" s="6"/>
      <c r="Y370" s="6"/>
      <c r="Z370" s="6"/>
      <c r="AA370" s="6"/>
      <c r="AB370" s="6"/>
      <c r="AC370" s="6"/>
      <c r="AD370" s="6"/>
    </row>
    <row r="371">
      <c r="A371" s="6"/>
      <c r="B371" s="6"/>
      <c r="C371" s="6"/>
      <c r="D371" s="6"/>
      <c r="E371" s="6"/>
      <c r="F371" s="6"/>
      <c r="G371" s="6"/>
      <c r="H371" s="25"/>
      <c r="I371" s="25"/>
      <c r="J371" s="6"/>
      <c r="K371" s="6"/>
      <c r="L371" s="6"/>
      <c r="M371" s="6"/>
      <c r="N371" s="6"/>
      <c r="O371" s="6"/>
      <c r="P371" s="6"/>
      <c r="Q371" s="6"/>
      <c r="R371" s="6"/>
      <c r="S371" s="26"/>
      <c r="T371" s="26"/>
      <c r="U371" s="27"/>
      <c r="V371" s="6"/>
      <c r="W371" s="6"/>
      <c r="X371" s="6"/>
      <c r="Y371" s="6"/>
      <c r="Z371" s="6"/>
      <c r="AA371" s="6"/>
      <c r="AB371" s="6"/>
      <c r="AC371" s="6"/>
      <c r="AD371" s="6"/>
    </row>
    <row r="372">
      <c r="A372" s="6"/>
      <c r="B372" s="6"/>
      <c r="C372" s="6"/>
      <c r="D372" s="6"/>
      <c r="E372" s="6"/>
      <c r="F372" s="6"/>
      <c r="G372" s="6"/>
      <c r="H372" s="25"/>
      <c r="I372" s="25"/>
      <c r="J372" s="6"/>
      <c r="K372" s="6"/>
      <c r="L372" s="6"/>
      <c r="M372" s="6"/>
      <c r="N372" s="6"/>
      <c r="O372" s="6"/>
      <c r="P372" s="6"/>
      <c r="Q372" s="6"/>
      <c r="R372" s="6"/>
      <c r="S372" s="26"/>
      <c r="T372" s="26"/>
      <c r="U372" s="27"/>
      <c r="V372" s="6"/>
      <c r="W372" s="6"/>
      <c r="X372" s="6"/>
      <c r="Y372" s="6"/>
      <c r="Z372" s="6"/>
      <c r="AA372" s="6"/>
      <c r="AB372" s="6"/>
      <c r="AC372" s="6"/>
      <c r="AD372" s="6"/>
    </row>
    <row r="373">
      <c r="A373" s="6"/>
      <c r="B373" s="6"/>
      <c r="C373" s="6"/>
      <c r="D373" s="6"/>
      <c r="E373" s="6"/>
      <c r="F373" s="6"/>
      <c r="G373" s="6"/>
      <c r="H373" s="25"/>
      <c r="I373" s="25"/>
      <c r="J373" s="6"/>
      <c r="K373" s="6"/>
      <c r="L373" s="6"/>
      <c r="M373" s="6"/>
      <c r="N373" s="6"/>
      <c r="O373" s="6"/>
      <c r="P373" s="6"/>
      <c r="Q373" s="6"/>
      <c r="R373" s="6"/>
      <c r="S373" s="26"/>
      <c r="T373" s="26"/>
      <c r="U373" s="27"/>
      <c r="V373" s="6"/>
      <c r="W373" s="6"/>
      <c r="X373" s="6"/>
      <c r="Y373" s="6"/>
      <c r="Z373" s="6"/>
      <c r="AA373" s="6"/>
      <c r="AB373" s="6"/>
      <c r="AC373" s="6"/>
      <c r="AD373" s="6"/>
    </row>
    <row r="374">
      <c r="A374" s="6"/>
      <c r="B374" s="6"/>
      <c r="C374" s="6"/>
      <c r="D374" s="6"/>
      <c r="E374" s="6"/>
      <c r="F374" s="6"/>
      <c r="G374" s="6"/>
      <c r="H374" s="25"/>
      <c r="I374" s="25"/>
      <c r="J374" s="6"/>
      <c r="K374" s="6"/>
      <c r="L374" s="6"/>
      <c r="M374" s="6"/>
      <c r="N374" s="6"/>
      <c r="O374" s="6"/>
      <c r="P374" s="6"/>
      <c r="Q374" s="6"/>
      <c r="R374" s="6"/>
      <c r="S374" s="26"/>
      <c r="T374" s="26"/>
      <c r="U374" s="27"/>
      <c r="V374" s="6"/>
      <c r="W374" s="6"/>
      <c r="X374" s="6"/>
      <c r="Y374" s="6"/>
      <c r="Z374" s="6"/>
      <c r="AA374" s="6"/>
      <c r="AB374" s="6"/>
      <c r="AC374" s="6"/>
      <c r="AD374" s="6"/>
    </row>
    <row r="375">
      <c r="A375" s="6"/>
      <c r="B375" s="6"/>
      <c r="C375" s="6"/>
      <c r="D375" s="6"/>
      <c r="E375" s="6"/>
      <c r="F375" s="6"/>
      <c r="G375" s="6"/>
      <c r="H375" s="25"/>
      <c r="I375" s="25"/>
      <c r="J375" s="6"/>
      <c r="K375" s="6"/>
      <c r="L375" s="6"/>
      <c r="M375" s="6"/>
      <c r="N375" s="6"/>
      <c r="O375" s="6"/>
      <c r="P375" s="6"/>
      <c r="Q375" s="6"/>
      <c r="R375" s="6"/>
      <c r="S375" s="26"/>
      <c r="T375" s="26"/>
      <c r="U375" s="27"/>
      <c r="V375" s="6"/>
      <c r="W375" s="6"/>
      <c r="X375" s="6"/>
      <c r="Y375" s="6"/>
      <c r="Z375" s="6"/>
      <c r="AA375" s="6"/>
      <c r="AB375" s="6"/>
      <c r="AC375" s="6"/>
      <c r="AD375" s="6"/>
    </row>
    <row r="376">
      <c r="A376" s="6"/>
      <c r="B376" s="6"/>
      <c r="C376" s="6"/>
      <c r="D376" s="6"/>
      <c r="E376" s="6"/>
      <c r="F376" s="6"/>
      <c r="G376" s="6"/>
      <c r="H376" s="25"/>
      <c r="I376" s="25"/>
      <c r="J376" s="6"/>
      <c r="K376" s="6"/>
      <c r="L376" s="6"/>
      <c r="M376" s="6"/>
      <c r="N376" s="6"/>
      <c r="O376" s="6"/>
      <c r="P376" s="6"/>
      <c r="Q376" s="6"/>
      <c r="R376" s="6"/>
      <c r="S376" s="26"/>
      <c r="T376" s="26"/>
      <c r="U376" s="27"/>
      <c r="V376" s="6"/>
      <c r="W376" s="6"/>
      <c r="X376" s="6"/>
      <c r="Y376" s="6"/>
      <c r="Z376" s="6"/>
      <c r="AA376" s="6"/>
      <c r="AB376" s="6"/>
      <c r="AC376" s="6"/>
      <c r="AD376" s="6"/>
    </row>
    <row r="377">
      <c r="A377" s="6"/>
      <c r="B377" s="6"/>
      <c r="C377" s="6"/>
      <c r="D377" s="6"/>
      <c r="E377" s="6"/>
      <c r="F377" s="6"/>
      <c r="G377" s="6"/>
      <c r="H377" s="25"/>
      <c r="I377" s="25"/>
      <c r="J377" s="6"/>
      <c r="K377" s="6"/>
      <c r="L377" s="6"/>
      <c r="M377" s="6"/>
      <c r="N377" s="6"/>
      <c r="O377" s="6"/>
      <c r="P377" s="6"/>
      <c r="Q377" s="6"/>
      <c r="R377" s="6"/>
      <c r="S377" s="26"/>
      <c r="T377" s="26"/>
      <c r="U377" s="27"/>
      <c r="V377" s="6"/>
      <c r="W377" s="6"/>
      <c r="X377" s="6"/>
      <c r="Y377" s="6"/>
      <c r="Z377" s="6"/>
      <c r="AA377" s="6"/>
      <c r="AB377" s="6"/>
      <c r="AC377" s="6"/>
      <c r="AD377" s="6"/>
    </row>
    <row r="378">
      <c r="A378" s="6"/>
      <c r="B378" s="6"/>
      <c r="C378" s="6"/>
      <c r="D378" s="6"/>
      <c r="E378" s="6"/>
      <c r="F378" s="6"/>
      <c r="G378" s="6"/>
      <c r="H378" s="25"/>
      <c r="I378" s="25"/>
      <c r="J378" s="6"/>
      <c r="K378" s="6"/>
      <c r="L378" s="6"/>
      <c r="M378" s="6"/>
      <c r="N378" s="6"/>
      <c r="O378" s="6"/>
      <c r="P378" s="6"/>
      <c r="Q378" s="6"/>
      <c r="R378" s="6"/>
      <c r="S378" s="26"/>
      <c r="T378" s="26"/>
      <c r="U378" s="27"/>
      <c r="V378" s="6"/>
      <c r="W378" s="6"/>
      <c r="X378" s="6"/>
      <c r="Y378" s="6"/>
      <c r="Z378" s="6"/>
      <c r="AA378" s="6"/>
      <c r="AB378" s="6"/>
      <c r="AC378" s="6"/>
      <c r="AD378" s="6"/>
    </row>
    <row r="379">
      <c r="A379" s="6"/>
      <c r="B379" s="6"/>
      <c r="C379" s="6"/>
      <c r="D379" s="6"/>
      <c r="E379" s="6"/>
      <c r="F379" s="6"/>
      <c r="G379" s="6"/>
      <c r="H379" s="25"/>
      <c r="I379" s="25"/>
      <c r="J379" s="6"/>
      <c r="K379" s="6"/>
      <c r="L379" s="6"/>
      <c r="M379" s="6"/>
      <c r="N379" s="6"/>
      <c r="O379" s="6"/>
      <c r="P379" s="6"/>
      <c r="Q379" s="6"/>
      <c r="R379" s="6"/>
      <c r="S379" s="26"/>
      <c r="T379" s="26"/>
      <c r="U379" s="27"/>
      <c r="V379" s="6"/>
      <c r="W379" s="6"/>
      <c r="X379" s="6"/>
      <c r="Y379" s="6"/>
      <c r="Z379" s="6"/>
      <c r="AA379" s="6"/>
      <c r="AB379" s="6"/>
      <c r="AC379" s="6"/>
      <c r="AD379" s="6"/>
    </row>
    <row r="380">
      <c r="A380" s="6"/>
      <c r="B380" s="6"/>
      <c r="C380" s="6"/>
      <c r="D380" s="6"/>
      <c r="E380" s="6"/>
      <c r="F380" s="6"/>
      <c r="G380" s="6"/>
      <c r="H380" s="25"/>
      <c r="I380" s="25"/>
      <c r="J380" s="6"/>
      <c r="K380" s="6"/>
      <c r="L380" s="6"/>
      <c r="M380" s="6"/>
      <c r="N380" s="6"/>
      <c r="O380" s="6"/>
      <c r="P380" s="6"/>
      <c r="Q380" s="6"/>
      <c r="R380" s="6"/>
      <c r="S380" s="26"/>
      <c r="T380" s="26"/>
      <c r="U380" s="27"/>
      <c r="V380" s="6"/>
      <c r="W380" s="6"/>
      <c r="X380" s="6"/>
      <c r="Y380" s="6"/>
      <c r="Z380" s="6"/>
      <c r="AA380" s="6"/>
      <c r="AB380" s="6"/>
      <c r="AC380" s="6"/>
      <c r="AD380" s="6"/>
    </row>
    <row r="381">
      <c r="A381" s="6"/>
      <c r="B381" s="6"/>
      <c r="C381" s="6"/>
      <c r="D381" s="6"/>
      <c r="E381" s="6"/>
      <c r="F381" s="6"/>
      <c r="G381" s="6"/>
      <c r="H381" s="25"/>
      <c r="I381" s="25"/>
      <c r="J381" s="6"/>
      <c r="K381" s="6"/>
      <c r="L381" s="6"/>
      <c r="M381" s="6"/>
      <c r="N381" s="6"/>
      <c r="O381" s="6"/>
      <c r="P381" s="6"/>
      <c r="Q381" s="6"/>
      <c r="R381" s="6"/>
      <c r="S381" s="26"/>
      <c r="T381" s="26"/>
      <c r="U381" s="27"/>
      <c r="V381" s="6"/>
      <c r="W381" s="6"/>
      <c r="X381" s="6"/>
      <c r="Y381" s="6"/>
      <c r="Z381" s="6"/>
      <c r="AA381" s="6"/>
      <c r="AB381" s="6"/>
      <c r="AC381" s="6"/>
      <c r="AD381" s="6"/>
    </row>
    <row r="382">
      <c r="A382" s="6"/>
      <c r="B382" s="6"/>
      <c r="C382" s="6"/>
      <c r="D382" s="6"/>
      <c r="E382" s="6"/>
      <c r="F382" s="6"/>
      <c r="G382" s="6"/>
      <c r="H382" s="25"/>
      <c r="I382" s="25"/>
      <c r="J382" s="6"/>
      <c r="K382" s="6"/>
      <c r="L382" s="6"/>
      <c r="M382" s="6"/>
      <c r="N382" s="6"/>
      <c r="O382" s="6"/>
      <c r="P382" s="6"/>
      <c r="Q382" s="6"/>
      <c r="R382" s="6"/>
      <c r="S382" s="26"/>
      <c r="T382" s="26"/>
      <c r="U382" s="27"/>
      <c r="V382" s="6"/>
      <c r="W382" s="6"/>
      <c r="X382" s="6"/>
      <c r="Y382" s="6"/>
      <c r="Z382" s="6"/>
      <c r="AA382" s="6"/>
      <c r="AB382" s="6"/>
      <c r="AC382" s="6"/>
      <c r="AD382" s="6"/>
    </row>
    <row r="383">
      <c r="A383" s="6"/>
      <c r="B383" s="6"/>
      <c r="C383" s="6"/>
      <c r="D383" s="6"/>
      <c r="E383" s="6"/>
      <c r="F383" s="6"/>
      <c r="G383" s="6"/>
      <c r="H383" s="25"/>
      <c r="I383" s="25"/>
      <c r="J383" s="6"/>
      <c r="K383" s="6"/>
      <c r="L383" s="6"/>
      <c r="M383" s="6"/>
      <c r="N383" s="6"/>
      <c r="O383" s="6"/>
      <c r="P383" s="6"/>
      <c r="Q383" s="6"/>
      <c r="R383" s="6"/>
      <c r="S383" s="26"/>
      <c r="T383" s="26"/>
      <c r="U383" s="27"/>
      <c r="V383" s="6"/>
      <c r="W383" s="6"/>
      <c r="X383" s="6"/>
      <c r="Y383" s="6"/>
      <c r="Z383" s="6"/>
      <c r="AA383" s="6"/>
      <c r="AB383" s="6"/>
      <c r="AC383" s="6"/>
      <c r="AD383" s="6"/>
    </row>
    <row r="384">
      <c r="A384" s="6"/>
      <c r="B384" s="6"/>
      <c r="C384" s="6"/>
      <c r="D384" s="6"/>
      <c r="E384" s="6"/>
      <c r="F384" s="6"/>
      <c r="G384" s="6"/>
      <c r="H384" s="25"/>
      <c r="I384" s="25"/>
      <c r="J384" s="6"/>
      <c r="K384" s="6"/>
      <c r="L384" s="6"/>
      <c r="M384" s="6"/>
      <c r="N384" s="6"/>
      <c r="O384" s="6"/>
      <c r="P384" s="6"/>
      <c r="Q384" s="6"/>
      <c r="R384" s="6"/>
      <c r="S384" s="26"/>
      <c r="T384" s="26"/>
      <c r="U384" s="27"/>
      <c r="V384" s="6"/>
      <c r="W384" s="6"/>
      <c r="X384" s="6"/>
      <c r="Y384" s="6"/>
      <c r="Z384" s="6"/>
      <c r="AA384" s="6"/>
      <c r="AB384" s="6"/>
      <c r="AC384" s="6"/>
      <c r="AD384" s="6"/>
    </row>
    <row r="385">
      <c r="A385" s="6"/>
      <c r="B385" s="6"/>
      <c r="C385" s="6"/>
      <c r="D385" s="6"/>
      <c r="E385" s="6"/>
      <c r="F385" s="6"/>
      <c r="G385" s="6"/>
      <c r="H385" s="25"/>
      <c r="I385" s="25"/>
      <c r="J385" s="6"/>
      <c r="K385" s="6"/>
      <c r="L385" s="6"/>
      <c r="M385" s="6"/>
      <c r="N385" s="6"/>
      <c r="O385" s="6"/>
      <c r="P385" s="6"/>
      <c r="Q385" s="6"/>
      <c r="R385" s="6"/>
      <c r="S385" s="26"/>
      <c r="T385" s="26"/>
      <c r="U385" s="27"/>
      <c r="V385" s="6"/>
      <c r="W385" s="6"/>
      <c r="X385" s="6"/>
      <c r="Y385" s="6"/>
      <c r="Z385" s="6"/>
      <c r="AA385" s="6"/>
      <c r="AB385" s="6"/>
      <c r="AC385" s="6"/>
      <c r="AD385" s="6"/>
    </row>
    <row r="386">
      <c r="A386" s="6"/>
      <c r="B386" s="6"/>
      <c r="C386" s="6"/>
      <c r="D386" s="6"/>
      <c r="E386" s="6"/>
      <c r="F386" s="6"/>
      <c r="G386" s="6"/>
      <c r="H386" s="25"/>
      <c r="I386" s="25"/>
      <c r="J386" s="6"/>
      <c r="K386" s="6"/>
      <c r="L386" s="6"/>
      <c r="M386" s="6"/>
      <c r="N386" s="6"/>
      <c r="O386" s="6"/>
      <c r="P386" s="6"/>
      <c r="Q386" s="6"/>
      <c r="R386" s="6"/>
      <c r="S386" s="26"/>
      <c r="T386" s="26"/>
      <c r="U386" s="27"/>
      <c r="V386" s="6"/>
      <c r="W386" s="6"/>
      <c r="X386" s="6"/>
      <c r="Y386" s="6"/>
      <c r="Z386" s="6"/>
      <c r="AA386" s="6"/>
      <c r="AB386" s="6"/>
      <c r="AC386" s="6"/>
      <c r="AD386" s="6"/>
    </row>
    <row r="387">
      <c r="A387" s="6"/>
      <c r="B387" s="6"/>
      <c r="C387" s="6"/>
      <c r="D387" s="6"/>
      <c r="E387" s="6"/>
      <c r="F387" s="6"/>
      <c r="G387" s="6"/>
      <c r="H387" s="25"/>
      <c r="I387" s="25"/>
      <c r="J387" s="6"/>
      <c r="K387" s="6"/>
      <c r="L387" s="6"/>
      <c r="M387" s="6"/>
      <c r="N387" s="6"/>
      <c r="O387" s="6"/>
      <c r="P387" s="6"/>
      <c r="Q387" s="6"/>
      <c r="R387" s="6"/>
      <c r="S387" s="26"/>
      <c r="T387" s="26"/>
      <c r="U387" s="27"/>
      <c r="V387" s="6"/>
      <c r="W387" s="6"/>
      <c r="X387" s="6"/>
      <c r="Y387" s="6"/>
      <c r="Z387" s="6"/>
      <c r="AA387" s="6"/>
      <c r="AB387" s="6"/>
      <c r="AC387" s="6"/>
      <c r="AD387" s="6"/>
    </row>
    <row r="388">
      <c r="A388" s="6"/>
      <c r="B388" s="6"/>
      <c r="C388" s="6"/>
      <c r="D388" s="6"/>
      <c r="E388" s="6"/>
      <c r="F388" s="6"/>
      <c r="G388" s="6"/>
      <c r="H388" s="25"/>
      <c r="I388" s="25"/>
      <c r="J388" s="6"/>
      <c r="K388" s="6"/>
      <c r="L388" s="6"/>
      <c r="M388" s="6"/>
      <c r="N388" s="6"/>
      <c r="O388" s="6"/>
      <c r="P388" s="6"/>
      <c r="Q388" s="6"/>
      <c r="R388" s="6"/>
      <c r="S388" s="26"/>
      <c r="T388" s="26"/>
      <c r="U388" s="27"/>
      <c r="V388" s="6"/>
      <c r="W388" s="6"/>
      <c r="X388" s="6"/>
      <c r="Y388" s="6"/>
      <c r="Z388" s="6"/>
      <c r="AA388" s="6"/>
      <c r="AB388" s="6"/>
      <c r="AC388" s="6"/>
      <c r="AD388" s="6"/>
    </row>
    <row r="389">
      <c r="A389" s="6"/>
      <c r="B389" s="6"/>
      <c r="C389" s="6"/>
      <c r="D389" s="6"/>
      <c r="E389" s="6"/>
      <c r="F389" s="6"/>
      <c r="G389" s="6"/>
      <c r="H389" s="25"/>
      <c r="I389" s="25"/>
      <c r="J389" s="6"/>
      <c r="K389" s="6"/>
      <c r="L389" s="6"/>
      <c r="M389" s="6"/>
      <c r="N389" s="6"/>
      <c r="O389" s="6"/>
      <c r="P389" s="6"/>
      <c r="Q389" s="6"/>
      <c r="R389" s="6"/>
      <c r="S389" s="26"/>
      <c r="T389" s="26"/>
      <c r="U389" s="27"/>
      <c r="V389" s="6"/>
      <c r="W389" s="6"/>
      <c r="X389" s="6"/>
      <c r="Y389" s="6"/>
      <c r="Z389" s="6"/>
      <c r="AA389" s="6"/>
      <c r="AB389" s="6"/>
      <c r="AC389" s="6"/>
      <c r="AD389" s="6"/>
    </row>
    <row r="390">
      <c r="A390" s="6"/>
      <c r="B390" s="6"/>
      <c r="C390" s="6"/>
      <c r="D390" s="6"/>
      <c r="E390" s="6"/>
      <c r="F390" s="6"/>
      <c r="G390" s="6"/>
      <c r="H390" s="25"/>
      <c r="I390" s="25"/>
      <c r="J390" s="6"/>
      <c r="K390" s="6"/>
      <c r="L390" s="6"/>
      <c r="M390" s="6"/>
      <c r="N390" s="6"/>
      <c r="O390" s="6"/>
      <c r="P390" s="6"/>
      <c r="Q390" s="6"/>
      <c r="R390" s="6"/>
      <c r="S390" s="26"/>
      <c r="T390" s="26"/>
      <c r="U390" s="27"/>
      <c r="V390" s="6"/>
      <c r="W390" s="6"/>
      <c r="X390" s="6"/>
      <c r="Y390" s="6"/>
      <c r="Z390" s="6"/>
      <c r="AA390" s="6"/>
      <c r="AB390" s="6"/>
      <c r="AC390" s="6"/>
      <c r="AD390" s="6"/>
    </row>
    <row r="391">
      <c r="A391" s="6"/>
      <c r="B391" s="6"/>
      <c r="C391" s="6"/>
      <c r="D391" s="6"/>
      <c r="E391" s="6"/>
      <c r="F391" s="6"/>
      <c r="G391" s="6"/>
      <c r="H391" s="25"/>
      <c r="I391" s="25"/>
      <c r="J391" s="6"/>
      <c r="K391" s="6"/>
      <c r="L391" s="6"/>
      <c r="M391" s="6"/>
      <c r="N391" s="6"/>
      <c r="O391" s="6"/>
      <c r="P391" s="6"/>
      <c r="Q391" s="6"/>
      <c r="R391" s="6"/>
      <c r="S391" s="26"/>
      <c r="T391" s="26"/>
      <c r="U391" s="27"/>
      <c r="V391" s="6"/>
      <c r="W391" s="6"/>
      <c r="X391" s="6"/>
      <c r="Y391" s="6"/>
      <c r="Z391" s="6"/>
      <c r="AA391" s="6"/>
      <c r="AB391" s="6"/>
      <c r="AC391" s="6"/>
      <c r="AD391" s="6"/>
    </row>
    <row r="392">
      <c r="A392" s="6"/>
      <c r="B392" s="6"/>
      <c r="C392" s="6"/>
      <c r="D392" s="6"/>
      <c r="E392" s="6"/>
      <c r="F392" s="6"/>
      <c r="G392" s="6"/>
      <c r="H392" s="25"/>
      <c r="I392" s="25"/>
      <c r="J392" s="6"/>
      <c r="K392" s="6"/>
      <c r="L392" s="6"/>
      <c r="M392" s="6"/>
      <c r="N392" s="6"/>
      <c r="O392" s="6"/>
      <c r="P392" s="6"/>
      <c r="Q392" s="6"/>
      <c r="R392" s="6"/>
      <c r="S392" s="26"/>
      <c r="T392" s="26"/>
      <c r="U392" s="27"/>
      <c r="V392" s="6"/>
      <c r="W392" s="6"/>
      <c r="X392" s="6"/>
      <c r="Y392" s="6"/>
      <c r="Z392" s="6"/>
      <c r="AA392" s="6"/>
      <c r="AB392" s="6"/>
      <c r="AC392" s="6"/>
      <c r="AD392" s="6"/>
    </row>
    <row r="393">
      <c r="A393" s="6"/>
      <c r="B393" s="6"/>
      <c r="C393" s="6"/>
      <c r="D393" s="6"/>
      <c r="E393" s="6"/>
      <c r="F393" s="6"/>
      <c r="G393" s="6"/>
      <c r="H393" s="25"/>
      <c r="I393" s="25"/>
      <c r="J393" s="6"/>
      <c r="K393" s="6"/>
      <c r="L393" s="6"/>
      <c r="M393" s="6"/>
      <c r="N393" s="6"/>
      <c r="O393" s="6"/>
      <c r="P393" s="6"/>
      <c r="Q393" s="6"/>
      <c r="R393" s="6"/>
      <c r="S393" s="26"/>
      <c r="T393" s="26"/>
      <c r="U393" s="27"/>
      <c r="V393" s="6"/>
      <c r="W393" s="6"/>
      <c r="X393" s="6"/>
      <c r="Y393" s="6"/>
      <c r="Z393" s="6"/>
      <c r="AA393" s="6"/>
      <c r="AB393" s="6"/>
      <c r="AC393" s="6"/>
      <c r="AD393" s="6"/>
    </row>
    <row r="394">
      <c r="A394" s="6"/>
      <c r="B394" s="6"/>
      <c r="C394" s="6"/>
      <c r="D394" s="6"/>
      <c r="E394" s="6"/>
      <c r="F394" s="6"/>
      <c r="G394" s="6"/>
      <c r="H394" s="25"/>
      <c r="I394" s="25"/>
      <c r="J394" s="6"/>
      <c r="K394" s="6"/>
      <c r="L394" s="6"/>
      <c r="M394" s="6"/>
      <c r="N394" s="6"/>
      <c r="O394" s="6"/>
      <c r="P394" s="6"/>
      <c r="Q394" s="6"/>
      <c r="R394" s="6"/>
      <c r="S394" s="26"/>
      <c r="T394" s="26"/>
      <c r="U394" s="27"/>
      <c r="V394" s="6"/>
      <c r="W394" s="6"/>
      <c r="X394" s="6"/>
      <c r="Y394" s="6"/>
      <c r="Z394" s="6"/>
      <c r="AA394" s="6"/>
      <c r="AB394" s="6"/>
      <c r="AC394" s="6"/>
      <c r="AD394" s="6"/>
    </row>
    <row r="395">
      <c r="A395" s="6"/>
      <c r="B395" s="6"/>
      <c r="C395" s="6"/>
      <c r="D395" s="6"/>
      <c r="E395" s="6"/>
      <c r="F395" s="6"/>
      <c r="G395" s="6"/>
      <c r="H395" s="25"/>
      <c r="I395" s="25"/>
      <c r="J395" s="6"/>
      <c r="K395" s="6"/>
      <c r="L395" s="6"/>
      <c r="M395" s="6"/>
      <c r="N395" s="6"/>
      <c r="O395" s="6"/>
      <c r="P395" s="6"/>
      <c r="Q395" s="6"/>
      <c r="R395" s="6"/>
      <c r="S395" s="26"/>
      <c r="T395" s="26"/>
      <c r="U395" s="27"/>
      <c r="V395" s="6"/>
      <c r="W395" s="6"/>
      <c r="X395" s="6"/>
      <c r="Y395" s="6"/>
      <c r="Z395" s="6"/>
      <c r="AA395" s="6"/>
      <c r="AB395" s="6"/>
      <c r="AC395" s="6"/>
      <c r="AD395" s="6"/>
    </row>
    <row r="396">
      <c r="A396" s="6"/>
      <c r="B396" s="6"/>
      <c r="C396" s="6"/>
      <c r="D396" s="6"/>
      <c r="E396" s="6"/>
      <c r="F396" s="6"/>
      <c r="G396" s="6"/>
      <c r="H396" s="25"/>
      <c r="I396" s="25"/>
      <c r="J396" s="6"/>
      <c r="K396" s="6"/>
      <c r="L396" s="6"/>
      <c r="M396" s="6"/>
      <c r="N396" s="6"/>
      <c r="O396" s="6"/>
      <c r="P396" s="6"/>
      <c r="Q396" s="6"/>
      <c r="R396" s="6"/>
      <c r="S396" s="26"/>
      <c r="T396" s="26"/>
      <c r="U396" s="27"/>
      <c r="V396" s="6"/>
      <c r="W396" s="6"/>
      <c r="X396" s="6"/>
      <c r="Y396" s="6"/>
      <c r="Z396" s="6"/>
      <c r="AA396" s="6"/>
      <c r="AB396" s="6"/>
      <c r="AC396" s="6"/>
      <c r="AD396" s="6"/>
    </row>
    <row r="397">
      <c r="A397" s="6"/>
      <c r="B397" s="6"/>
      <c r="C397" s="6"/>
      <c r="D397" s="6"/>
      <c r="E397" s="6"/>
      <c r="F397" s="6"/>
      <c r="G397" s="6"/>
      <c r="H397" s="25"/>
      <c r="I397" s="25"/>
      <c r="J397" s="6"/>
      <c r="K397" s="6"/>
      <c r="L397" s="6"/>
      <c r="M397" s="6"/>
      <c r="N397" s="6"/>
      <c r="O397" s="6"/>
      <c r="P397" s="6"/>
      <c r="Q397" s="6"/>
      <c r="R397" s="6"/>
      <c r="S397" s="26"/>
      <c r="T397" s="26"/>
      <c r="U397" s="27"/>
      <c r="V397" s="6"/>
      <c r="W397" s="6"/>
      <c r="X397" s="6"/>
      <c r="Y397" s="6"/>
      <c r="Z397" s="6"/>
      <c r="AA397" s="6"/>
      <c r="AB397" s="6"/>
      <c r="AC397" s="6"/>
      <c r="AD397" s="6"/>
    </row>
    <row r="398">
      <c r="A398" s="6"/>
      <c r="B398" s="6"/>
      <c r="C398" s="6"/>
      <c r="D398" s="6"/>
      <c r="E398" s="6"/>
      <c r="F398" s="6"/>
      <c r="G398" s="6"/>
      <c r="H398" s="25"/>
      <c r="I398" s="25"/>
      <c r="J398" s="6"/>
      <c r="K398" s="6"/>
      <c r="L398" s="6"/>
      <c r="M398" s="6"/>
      <c r="N398" s="6"/>
      <c r="O398" s="6"/>
      <c r="P398" s="6"/>
      <c r="Q398" s="6"/>
      <c r="R398" s="6"/>
      <c r="S398" s="26"/>
      <c r="T398" s="26"/>
      <c r="U398" s="27"/>
      <c r="V398" s="6"/>
      <c r="W398" s="6"/>
      <c r="X398" s="6"/>
      <c r="Y398" s="6"/>
      <c r="Z398" s="6"/>
      <c r="AA398" s="6"/>
      <c r="AB398" s="6"/>
      <c r="AC398" s="6"/>
      <c r="AD398" s="6"/>
    </row>
    <row r="399">
      <c r="A399" s="6"/>
      <c r="B399" s="6"/>
      <c r="C399" s="6"/>
      <c r="D399" s="6"/>
      <c r="E399" s="6"/>
      <c r="F399" s="6"/>
      <c r="G399" s="6"/>
      <c r="H399" s="25"/>
      <c r="I399" s="25"/>
      <c r="J399" s="6"/>
      <c r="K399" s="6"/>
      <c r="L399" s="6"/>
      <c r="M399" s="6"/>
      <c r="N399" s="6"/>
      <c r="O399" s="6"/>
      <c r="P399" s="6"/>
      <c r="Q399" s="6"/>
      <c r="R399" s="6"/>
      <c r="S399" s="26"/>
      <c r="T399" s="26"/>
      <c r="U399" s="27"/>
      <c r="V399" s="6"/>
      <c r="W399" s="6"/>
      <c r="X399" s="6"/>
      <c r="Y399" s="6"/>
      <c r="Z399" s="6"/>
      <c r="AA399" s="6"/>
      <c r="AB399" s="6"/>
      <c r="AC399" s="6"/>
      <c r="AD399" s="6"/>
    </row>
    <row r="400">
      <c r="A400" s="6"/>
      <c r="B400" s="6"/>
      <c r="C400" s="6"/>
      <c r="D400" s="6"/>
      <c r="E400" s="6"/>
      <c r="F400" s="6"/>
      <c r="G400" s="6"/>
      <c r="H400" s="25"/>
      <c r="I400" s="25"/>
      <c r="J400" s="6"/>
      <c r="K400" s="6"/>
      <c r="L400" s="6"/>
      <c r="M400" s="6"/>
      <c r="N400" s="6"/>
      <c r="O400" s="6"/>
      <c r="P400" s="6"/>
      <c r="Q400" s="6"/>
      <c r="R400" s="6"/>
      <c r="S400" s="26"/>
      <c r="T400" s="26"/>
      <c r="U400" s="27"/>
      <c r="V400" s="6"/>
      <c r="W400" s="6"/>
      <c r="X400" s="6"/>
      <c r="Y400" s="6"/>
      <c r="Z400" s="6"/>
      <c r="AA400" s="6"/>
      <c r="AB400" s="6"/>
      <c r="AC400" s="6"/>
      <c r="AD400" s="6"/>
    </row>
    <row r="401">
      <c r="A401" s="6"/>
      <c r="B401" s="6"/>
      <c r="C401" s="6"/>
      <c r="D401" s="6"/>
      <c r="E401" s="6"/>
      <c r="F401" s="6"/>
      <c r="G401" s="6"/>
      <c r="H401" s="25"/>
      <c r="I401" s="25"/>
      <c r="J401" s="6"/>
      <c r="K401" s="6"/>
      <c r="L401" s="6"/>
      <c r="M401" s="6"/>
      <c r="N401" s="6"/>
      <c r="O401" s="6"/>
      <c r="P401" s="6"/>
      <c r="Q401" s="6"/>
      <c r="R401" s="6"/>
      <c r="S401" s="26"/>
      <c r="T401" s="26"/>
      <c r="U401" s="27"/>
      <c r="V401" s="6"/>
      <c r="W401" s="6"/>
      <c r="X401" s="6"/>
      <c r="Y401" s="6"/>
      <c r="Z401" s="6"/>
      <c r="AA401" s="6"/>
      <c r="AB401" s="6"/>
      <c r="AC401" s="6"/>
      <c r="AD401" s="6"/>
    </row>
    <row r="402">
      <c r="A402" s="6"/>
      <c r="B402" s="6"/>
      <c r="C402" s="6"/>
      <c r="D402" s="6"/>
      <c r="E402" s="6"/>
      <c r="F402" s="6"/>
      <c r="G402" s="6"/>
      <c r="H402" s="25"/>
      <c r="I402" s="25"/>
      <c r="J402" s="6"/>
      <c r="K402" s="6"/>
      <c r="L402" s="6"/>
      <c r="M402" s="6"/>
      <c r="N402" s="6"/>
      <c r="O402" s="6"/>
      <c r="P402" s="6"/>
      <c r="Q402" s="6"/>
      <c r="R402" s="6"/>
      <c r="S402" s="26"/>
      <c r="T402" s="26"/>
      <c r="U402" s="27"/>
      <c r="V402" s="6"/>
      <c r="W402" s="6"/>
      <c r="X402" s="6"/>
      <c r="Y402" s="6"/>
      <c r="Z402" s="6"/>
      <c r="AA402" s="6"/>
      <c r="AB402" s="6"/>
      <c r="AC402" s="6"/>
      <c r="AD402" s="6"/>
    </row>
    <row r="403">
      <c r="A403" s="6"/>
      <c r="B403" s="6"/>
      <c r="C403" s="6"/>
      <c r="D403" s="6"/>
      <c r="E403" s="6"/>
      <c r="F403" s="6"/>
      <c r="G403" s="6"/>
      <c r="H403" s="25"/>
      <c r="I403" s="25"/>
      <c r="J403" s="6"/>
      <c r="K403" s="6"/>
      <c r="L403" s="6"/>
      <c r="M403" s="6"/>
      <c r="N403" s="6"/>
      <c r="O403" s="6"/>
      <c r="P403" s="6"/>
      <c r="Q403" s="6"/>
      <c r="R403" s="6"/>
      <c r="S403" s="26"/>
      <c r="T403" s="26"/>
      <c r="U403" s="27"/>
      <c r="V403" s="6"/>
      <c r="W403" s="6"/>
      <c r="X403" s="6"/>
      <c r="Y403" s="6"/>
      <c r="Z403" s="6"/>
      <c r="AA403" s="6"/>
      <c r="AB403" s="6"/>
      <c r="AC403" s="6"/>
      <c r="AD403" s="6"/>
    </row>
    <row r="404">
      <c r="A404" s="6"/>
      <c r="B404" s="6"/>
      <c r="C404" s="6"/>
      <c r="D404" s="6"/>
      <c r="E404" s="6"/>
      <c r="F404" s="6"/>
      <c r="G404" s="6"/>
      <c r="H404" s="25"/>
      <c r="I404" s="25"/>
      <c r="J404" s="6"/>
      <c r="K404" s="6"/>
      <c r="L404" s="6"/>
      <c r="M404" s="6"/>
      <c r="N404" s="6"/>
      <c r="O404" s="6"/>
      <c r="P404" s="6"/>
      <c r="Q404" s="6"/>
      <c r="R404" s="6"/>
      <c r="S404" s="26"/>
      <c r="T404" s="26"/>
      <c r="U404" s="27"/>
      <c r="V404" s="6"/>
      <c r="W404" s="6"/>
      <c r="X404" s="6"/>
      <c r="Y404" s="6"/>
      <c r="Z404" s="6"/>
      <c r="AA404" s="6"/>
      <c r="AB404" s="6"/>
      <c r="AC404" s="6"/>
      <c r="AD404" s="6"/>
    </row>
    <row r="405">
      <c r="A405" s="6"/>
      <c r="B405" s="6"/>
      <c r="C405" s="6"/>
      <c r="D405" s="6"/>
      <c r="E405" s="6"/>
      <c r="F405" s="6"/>
      <c r="G405" s="6"/>
      <c r="H405" s="25"/>
      <c r="I405" s="25"/>
      <c r="J405" s="6"/>
      <c r="K405" s="6"/>
      <c r="L405" s="6"/>
      <c r="M405" s="6"/>
      <c r="N405" s="6"/>
      <c r="O405" s="6"/>
      <c r="P405" s="6"/>
      <c r="Q405" s="6"/>
      <c r="R405" s="6"/>
      <c r="S405" s="26"/>
      <c r="T405" s="26"/>
      <c r="U405" s="27"/>
      <c r="V405" s="6"/>
      <c r="W405" s="6"/>
      <c r="X405" s="6"/>
      <c r="Y405" s="6"/>
      <c r="Z405" s="6"/>
      <c r="AA405" s="6"/>
      <c r="AB405" s="6"/>
      <c r="AC405" s="6"/>
      <c r="AD405" s="6"/>
    </row>
    <row r="406">
      <c r="A406" s="6"/>
      <c r="B406" s="6"/>
      <c r="C406" s="6"/>
      <c r="D406" s="6"/>
      <c r="E406" s="6"/>
      <c r="F406" s="6"/>
      <c r="G406" s="6"/>
      <c r="H406" s="25"/>
      <c r="I406" s="25"/>
      <c r="J406" s="6"/>
      <c r="K406" s="6"/>
      <c r="L406" s="6"/>
      <c r="M406" s="6"/>
      <c r="N406" s="6"/>
      <c r="O406" s="6"/>
      <c r="P406" s="6"/>
      <c r="Q406" s="6"/>
      <c r="R406" s="6"/>
      <c r="S406" s="26"/>
      <c r="T406" s="26"/>
      <c r="U406" s="27"/>
      <c r="V406" s="6"/>
      <c r="W406" s="6"/>
      <c r="X406" s="6"/>
      <c r="Y406" s="6"/>
      <c r="Z406" s="6"/>
      <c r="AA406" s="6"/>
      <c r="AB406" s="6"/>
      <c r="AC406" s="6"/>
      <c r="AD406" s="6"/>
    </row>
    <row r="407">
      <c r="A407" s="6"/>
      <c r="B407" s="6"/>
      <c r="C407" s="6"/>
      <c r="D407" s="6"/>
      <c r="E407" s="6"/>
      <c r="F407" s="6"/>
      <c r="G407" s="6"/>
      <c r="H407" s="25"/>
      <c r="I407" s="25"/>
      <c r="J407" s="6"/>
      <c r="K407" s="6"/>
      <c r="L407" s="6"/>
      <c r="M407" s="6"/>
      <c r="N407" s="6"/>
      <c r="O407" s="6"/>
      <c r="P407" s="6"/>
      <c r="Q407" s="6"/>
      <c r="R407" s="6"/>
      <c r="S407" s="26"/>
      <c r="T407" s="26"/>
      <c r="U407" s="27"/>
      <c r="V407" s="6"/>
      <c r="W407" s="6"/>
      <c r="X407" s="6"/>
      <c r="Y407" s="6"/>
      <c r="Z407" s="6"/>
      <c r="AA407" s="6"/>
      <c r="AB407" s="6"/>
      <c r="AC407" s="6"/>
      <c r="AD407" s="6"/>
    </row>
    <row r="408">
      <c r="A408" s="6"/>
      <c r="B408" s="6"/>
      <c r="C408" s="6"/>
      <c r="D408" s="6"/>
      <c r="E408" s="6"/>
      <c r="F408" s="6"/>
      <c r="G408" s="6"/>
      <c r="H408" s="25"/>
      <c r="I408" s="25"/>
      <c r="J408" s="6"/>
      <c r="K408" s="6"/>
      <c r="L408" s="6"/>
      <c r="M408" s="6"/>
      <c r="N408" s="6"/>
      <c r="O408" s="6"/>
      <c r="P408" s="6"/>
      <c r="Q408" s="6"/>
      <c r="R408" s="6"/>
      <c r="S408" s="26"/>
      <c r="T408" s="26"/>
      <c r="U408" s="27"/>
      <c r="V408" s="6"/>
      <c r="W408" s="6"/>
      <c r="X408" s="6"/>
      <c r="Y408" s="6"/>
      <c r="Z408" s="6"/>
      <c r="AA408" s="6"/>
      <c r="AB408" s="6"/>
      <c r="AC408" s="6"/>
      <c r="AD408" s="6"/>
    </row>
    <row r="409">
      <c r="A409" s="6"/>
      <c r="B409" s="6"/>
      <c r="C409" s="6"/>
      <c r="D409" s="6"/>
      <c r="E409" s="6"/>
      <c r="F409" s="6"/>
      <c r="G409" s="6"/>
      <c r="H409" s="25"/>
      <c r="I409" s="25"/>
      <c r="J409" s="6"/>
      <c r="K409" s="6"/>
      <c r="L409" s="6"/>
      <c r="M409" s="6"/>
      <c r="N409" s="6"/>
      <c r="O409" s="6"/>
      <c r="P409" s="6"/>
      <c r="Q409" s="6"/>
      <c r="R409" s="6"/>
      <c r="S409" s="26"/>
      <c r="T409" s="26"/>
      <c r="U409" s="27"/>
      <c r="V409" s="6"/>
      <c r="W409" s="6"/>
      <c r="X409" s="6"/>
      <c r="Y409" s="6"/>
      <c r="Z409" s="6"/>
      <c r="AA409" s="6"/>
      <c r="AB409" s="6"/>
      <c r="AC409" s="6"/>
      <c r="AD409" s="6"/>
    </row>
    <row r="410">
      <c r="A410" s="6"/>
      <c r="B410" s="6"/>
      <c r="C410" s="6"/>
      <c r="D410" s="6"/>
      <c r="E410" s="6"/>
      <c r="F410" s="6"/>
      <c r="G410" s="6"/>
      <c r="H410" s="25"/>
      <c r="I410" s="25"/>
      <c r="J410" s="6"/>
      <c r="K410" s="6"/>
      <c r="L410" s="6"/>
      <c r="M410" s="6"/>
      <c r="N410" s="6"/>
      <c r="O410" s="6"/>
      <c r="P410" s="6"/>
      <c r="Q410" s="6"/>
      <c r="R410" s="6"/>
      <c r="S410" s="26"/>
      <c r="T410" s="26"/>
      <c r="U410" s="27"/>
      <c r="V410" s="6"/>
      <c r="W410" s="6"/>
      <c r="X410" s="6"/>
      <c r="Y410" s="6"/>
      <c r="Z410" s="6"/>
      <c r="AA410" s="6"/>
      <c r="AB410" s="6"/>
      <c r="AC410" s="6"/>
      <c r="AD410" s="6"/>
    </row>
    <row r="411">
      <c r="A411" s="6"/>
      <c r="B411" s="6"/>
      <c r="C411" s="6"/>
      <c r="D411" s="6"/>
      <c r="E411" s="6"/>
      <c r="F411" s="6"/>
      <c r="G411" s="6"/>
      <c r="H411" s="25"/>
      <c r="I411" s="25"/>
      <c r="J411" s="6"/>
      <c r="K411" s="6"/>
      <c r="L411" s="6"/>
      <c r="M411" s="6"/>
      <c r="N411" s="6"/>
      <c r="O411" s="6"/>
      <c r="P411" s="6"/>
      <c r="Q411" s="6"/>
      <c r="R411" s="6"/>
      <c r="S411" s="26"/>
      <c r="T411" s="26"/>
      <c r="U411" s="27"/>
      <c r="V411" s="6"/>
      <c r="W411" s="6"/>
      <c r="X411" s="6"/>
      <c r="Y411" s="6"/>
      <c r="Z411" s="6"/>
      <c r="AA411" s="6"/>
      <c r="AB411" s="6"/>
      <c r="AC411" s="6"/>
      <c r="AD411" s="6"/>
    </row>
    <row r="412">
      <c r="A412" s="6"/>
      <c r="B412" s="6"/>
      <c r="C412" s="6"/>
      <c r="D412" s="6"/>
      <c r="E412" s="6"/>
      <c r="F412" s="6"/>
      <c r="G412" s="6"/>
      <c r="H412" s="25"/>
      <c r="I412" s="25"/>
      <c r="J412" s="6"/>
      <c r="K412" s="6"/>
      <c r="L412" s="6"/>
      <c r="M412" s="6"/>
      <c r="N412" s="6"/>
      <c r="O412" s="6"/>
      <c r="P412" s="6"/>
      <c r="Q412" s="6"/>
      <c r="R412" s="6"/>
      <c r="S412" s="26"/>
      <c r="T412" s="26"/>
      <c r="U412" s="27"/>
      <c r="V412" s="6"/>
      <c r="W412" s="6"/>
      <c r="X412" s="6"/>
      <c r="Y412" s="6"/>
      <c r="Z412" s="6"/>
      <c r="AA412" s="6"/>
      <c r="AB412" s="6"/>
      <c r="AC412" s="6"/>
      <c r="AD412" s="6"/>
    </row>
    <row r="413">
      <c r="A413" s="6"/>
      <c r="B413" s="6"/>
      <c r="C413" s="6"/>
      <c r="D413" s="6"/>
      <c r="E413" s="6"/>
      <c r="F413" s="6"/>
      <c r="G413" s="6"/>
      <c r="H413" s="25"/>
      <c r="I413" s="25"/>
      <c r="J413" s="6"/>
      <c r="K413" s="6"/>
      <c r="L413" s="6"/>
      <c r="M413" s="6"/>
      <c r="N413" s="6"/>
      <c r="O413" s="6"/>
      <c r="P413" s="6"/>
      <c r="Q413" s="6"/>
      <c r="R413" s="6"/>
      <c r="S413" s="26"/>
      <c r="T413" s="26"/>
      <c r="U413" s="27"/>
      <c r="V413" s="6"/>
      <c r="W413" s="6"/>
      <c r="X413" s="6"/>
      <c r="Y413" s="6"/>
      <c r="Z413" s="6"/>
      <c r="AA413" s="6"/>
      <c r="AB413" s="6"/>
      <c r="AC413" s="6"/>
      <c r="AD413" s="6"/>
    </row>
    <row r="414">
      <c r="A414" s="6"/>
      <c r="B414" s="6"/>
      <c r="C414" s="6"/>
      <c r="D414" s="6"/>
      <c r="E414" s="6"/>
      <c r="F414" s="6"/>
      <c r="G414" s="6"/>
      <c r="H414" s="25"/>
      <c r="I414" s="25"/>
      <c r="J414" s="6"/>
      <c r="K414" s="6"/>
      <c r="L414" s="6"/>
      <c r="M414" s="6"/>
      <c r="N414" s="6"/>
      <c r="O414" s="6"/>
      <c r="P414" s="6"/>
      <c r="Q414" s="6"/>
      <c r="R414" s="6"/>
      <c r="S414" s="26"/>
      <c r="T414" s="26"/>
      <c r="U414" s="27"/>
      <c r="V414" s="6"/>
      <c r="W414" s="6"/>
      <c r="X414" s="6"/>
      <c r="Y414" s="6"/>
      <c r="Z414" s="6"/>
      <c r="AA414" s="6"/>
      <c r="AB414" s="6"/>
      <c r="AC414" s="6"/>
      <c r="AD414" s="6"/>
    </row>
    <row r="415">
      <c r="A415" s="6"/>
      <c r="B415" s="6"/>
      <c r="C415" s="6"/>
      <c r="D415" s="6"/>
      <c r="E415" s="6"/>
      <c r="F415" s="6"/>
      <c r="G415" s="6"/>
      <c r="H415" s="25"/>
      <c r="I415" s="25"/>
      <c r="J415" s="6"/>
      <c r="K415" s="6"/>
      <c r="L415" s="6"/>
      <c r="M415" s="6"/>
      <c r="N415" s="6"/>
      <c r="O415" s="6"/>
      <c r="P415" s="6"/>
      <c r="Q415" s="6"/>
      <c r="R415" s="6"/>
      <c r="S415" s="26"/>
      <c r="T415" s="26"/>
      <c r="U415" s="27"/>
      <c r="V415" s="6"/>
      <c r="W415" s="6"/>
      <c r="X415" s="6"/>
      <c r="Y415" s="6"/>
      <c r="Z415" s="6"/>
      <c r="AA415" s="6"/>
      <c r="AB415" s="6"/>
      <c r="AC415" s="6"/>
      <c r="AD415" s="6"/>
    </row>
    <row r="416">
      <c r="A416" s="6"/>
      <c r="B416" s="6"/>
      <c r="C416" s="6"/>
      <c r="D416" s="6"/>
      <c r="E416" s="6"/>
      <c r="F416" s="6"/>
      <c r="G416" s="6"/>
      <c r="H416" s="25"/>
      <c r="I416" s="25"/>
      <c r="J416" s="6"/>
      <c r="K416" s="6"/>
      <c r="L416" s="6"/>
      <c r="M416" s="6"/>
      <c r="N416" s="6"/>
      <c r="O416" s="6"/>
      <c r="P416" s="6"/>
      <c r="Q416" s="6"/>
      <c r="R416" s="6"/>
      <c r="S416" s="26"/>
      <c r="T416" s="26"/>
      <c r="U416" s="27"/>
      <c r="V416" s="6"/>
      <c r="W416" s="6"/>
      <c r="X416" s="6"/>
      <c r="Y416" s="6"/>
      <c r="Z416" s="6"/>
      <c r="AA416" s="6"/>
      <c r="AB416" s="6"/>
      <c r="AC416" s="6"/>
      <c r="AD416" s="6"/>
    </row>
    <row r="417">
      <c r="A417" s="6"/>
      <c r="B417" s="6"/>
      <c r="C417" s="6"/>
      <c r="D417" s="6"/>
      <c r="E417" s="6"/>
      <c r="F417" s="6"/>
      <c r="G417" s="6"/>
      <c r="H417" s="25"/>
      <c r="I417" s="25"/>
      <c r="J417" s="6"/>
      <c r="K417" s="6"/>
      <c r="L417" s="6"/>
      <c r="M417" s="6"/>
      <c r="N417" s="6"/>
      <c r="O417" s="6"/>
      <c r="P417" s="6"/>
      <c r="Q417" s="6"/>
      <c r="R417" s="6"/>
      <c r="S417" s="26"/>
      <c r="T417" s="26"/>
      <c r="U417" s="27"/>
      <c r="V417" s="6"/>
      <c r="W417" s="6"/>
      <c r="X417" s="6"/>
      <c r="Y417" s="6"/>
      <c r="Z417" s="6"/>
      <c r="AA417" s="6"/>
      <c r="AB417" s="6"/>
      <c r="AC417" s="6"/>
      <c r="AD417" s="6"/>
    </row>
    <row r="418">
      <c r="A418" s="6"/>
      <c r="B418" s="6"/>
      <c r="C418" s="6"/>
      <c r="D418" s="6"/>
      <c r="E418" s="6"/>
      <c r="F418" s="6"/>
      <c r="G418" s="6"/>
      <c r="H418" s="25"/>
      <c r="I418" s="25"/>
      <c r="J418" s="6"/>
      <c r="K418" s="6"/>
      <c r="L418" s="6"/>
      <c r="M418" s="6"/>
      <c r="N418" s="6"/>
      <c r="O418" s="6"/>
      <c r="P418" s="6"/>
      <c r="Q418" s="6"/>
      <c r="R418" s="6"/>
      <c r="S418" s="26"/>
      <c r="T418" s="26"/>
      <c r="U418" s="27"/>
      <c r="V418" s="6"/>
      <c r="W418" s="6"/>
      <c r="X418" s="6"/>
      <c r="Y418" s="6"/>
      <c r="Z418" s="6"/>
      <c r="AA418" s="6"/>
      <c r="AB418" s="6"/>
      <c r="AC418" s="6"/>
      <c r="AD418" s="6"/>
    </row>
    <row r="419">
      <c r="A419" s="6"/>
      <c r="B419" s="6"/>
      <c r="C419" s="6"/>
      <c r="D419" s="6"/>
      <c r="E419" s="6"/>
      <c r="F419" s="6"/>
      <c r="G419" s="6"/>
      <c r="H419" s="25"/>
      <c r="I419" s="25"/>
      <c r="J419" s="6"/>
      <c r="K419" s="6"/>
      <c r="L419" s="6"/>
      <c r="M419" s="6"/>
      <c r="N419" s="6"/>
      <c r="O419" s="6"/>
      <c r="P419" s="6"/>
      <c r="Q419" s="6"/>
      <c r="R419" s="6"/>
      <c r="S419" s="26"/>
      <c r="T419" s="26"/>
      <c r="U419" s="27"/>
      <c r="V419" s="6"/>
      <c r="W419" s="6"/>
      <c r="X419" s="6"/>
      <c r="Y419" s="6"/>
      <c r="Z419" s="6"/>
      <c r="AA419" s="6"/>
      <c r="AB419" s="6"/>
      <c r="AC419" s="6"/>
      <c r="AD419" s="6"/>
    </row>
    <row r="420">
      <c r="A420" s="6"/>
      <c r="B420" s="6"/>
      <c r="C420" s="6"/>
      <c r="D420" s="6"/>
      <c r="E420" s="6"/>
      <c r="F420" s="6"/>
      <c r="G420" s="6"/>
      <c r="H420" s="25"/>
      <c r="I420" s="25"/>
      <c r="J420" s="6"/>
      <c r="K420" s="6"/>
      <c r="L420" s="6"/>
      <c r="M420" s="6"/>
      <c r="N420" s="6"/>
      <c r="O420" s="6"/>
      <c r="P420" s="6"/>
      <c r="Q420" s="6"/>
      <c r="R420" s="6"/>
      <c r="S420" s="26"/>
      <c r="T420" s="26"/>
      <c r="U420" s="27"/>
      <c r="V420" s="6"/>
      <c r="W420" s="6"/>
      <c r="X420" s="6"/>
      <c r="Y420" s="6"/>
      <c r="Z420" s="6"/>
      <c r="AA420" s="6"/>
      <c r="AB420" s="6"/>
      <c r="AC420" s="6"/>
      <c r="AD420" s="6"/>
    </row>
    <row r="421">
      <c r="A421" s="6"/>
      <c r="B421" s="6"/>
      <c r="C421" s="6"/>
      <c r="D421" s="6"/>
      <c r="E421" s="6"/>
      <c r="F421" s="6"/>
      <c r="G421" s="6"/>
      <c r="H421" s="25"/>
      <c r="I421" s="25"/>
      <c r="J421" s="6"/>
      <c r="K421" s="6"/>
      <c r="L421" s="6"/>
      <c r="M421" s="6"/>
      <c r="N421" s="6"/>
      <c r="O421" s="6"/>
      <c r="P421" s="6"/>
      <c r="Q421" s="6"/>
      <c r="R421" s="6"/>
      <c r="S421" s="26"/>
      <c r="T421" s="26"/>
      <c r="U421" s="27"/>
      <c r="V421" s="6"/>
      <c r="W421" s="6"/>
      <c r="X421" s="6"/>
      <c r="Y421" s="6"/>
      <c r="Z421" s="6"/>
      <c r="AA421" s="6"/>
      <c r="AB421" s="6"/>
      <c r="AC421" s="6"/>
      <c r="AD421" s="6"/>
    </row>
    <row r="422">
      <c r="A422" s="6"/>
      <c r="B422" s="6"/>
      <c r="C422" s="6"/>
      <c r="D422" s="6"/>
      <c r="E422" s="6"/>
      <c r="F422" s="6"/>
      <c r="G422" s="6"/>
      <c r="H422" s="25"/>
      <c r="I422" s="25"/>
      <c r="J422" s="6"/>
      <c r="K422" s="6"/>
      <c r="L422" s="6"/>
      <c r="M422" s="6"/>
      <c r="N422" s="6"/>
      <c r="O422" s="6"/>
      <c r="P422" s="6"/>
      <c r="Q422" s="6"/>
      <c r="R422" s="6"/>
      <c r="S422" s="26"/>
      <c r="T422" s="26"/>
      <c r="U422" s="27"/>
      <c r="V422" s="6"/>
      <c r="W422" s="6"/>
      <c r="X422" s="6"/>
      <c r="Y422" s="6"/>
      <c r="Z422" s="6"/>
      <c r="AA422" s="6"/>
      <c r="AB422" s="6"/>
      <c r="AC422" s="6"/>
      <c r="AD422" s="6"/>
    </row>
    <row r="423">
      <c r="A423" s="6"/>
      <c r="B423" s="6"/>
      <c r="C423" s="6"/>
      <c r="D423" s="6"/>
      <c r="E423" s="6"/>
      <c r="F423" s="6"/>
      <c r="G423" s="6"/>
      <c r="H423" s="25"/>
      <c r="I423" s="25"/>
      <c r="J423" s="6"/>
      <c r="K423" s="6"/>
      <c r="L423" s="6"/>
      <c r="M423" s="6"/>
      <c r="N423" s="6"/>
      <c r="O423" s="6"/>
      <c r="P423" s="6"/>
      <c r="Q423" s="6"/>
      <c r="R423" s="6"/>
      <c r="S423" s="26"/>
      <c r="T423" s="26"/>
      <c r="U423" s="27"/>
      <c r="V423" s="6"/>
      <c r="W423" s="6"/>
      <c r="X423" s="6"/>
      <c r="Y423" s="6"/>
      <c r="Z423" s="6"/>
      <c r="AA423" s="6"/>
      <c r="AB423" s="6"/>
      <c r="AC423" s="6"/>
      <c r="AD423" s="6"/>
    </row>
    <row r="424">
      <c r="A424" s="6"/>
      <c r="B424" s="6"/>
      <c r="C424" s="6"/>
      <c r="D424" s="6"/>
      <c r="E424" s="6"/>
      <c r="F424" s="6"/>
      <c r="G424" s="6"/>
      <c r="H424" s="25"/>
      <c r="I424" s="25"/>
      <c r="J424" s="6"/>
      <c r="K424" s="6"/>
      <c r="L424" s="6"/>
      <c r="M424" s="6"/>
      <c r="N424" s="6"/>
      <c r="O424" s="6"/>
      <c r="P424" s="6"/>
      <c r="Q424" s="6"/>
      <c r="R424" s="6"/>
      <c r="S424" s="26"/>
      <c r="T424" s="26"/>
      <c r="U424" s="27"/>
      <c r="V424" s="6"/>
      <c r="W424" s="6"/>
      <c r="X424" s="6"/>
      <c r="Y424" s="6"/>
      <c r="Z424" s="6"/>
      <c r="AA424" s="6"/>
      <c r="AB424" s="6"/>
      <c r="AC424" s="6"/>
      <c r="AD424" s="6"/>
    </row>
    <row r="425">
      <c r="A425" s="6"/>
      <c r="B425" s="6"/>
      <c r="C425" s="6"/>
      <c r="D425" s="6"/>
      <c r="E425" s="6"/>
      <c r="F425" s="6"/>
      <c r="G425" s="6"/>
      <c r="H425" s="25"/>
      <c r="I425" s="25"/>
      <c r="J425" s="6"/>
      <c r="K425" s="6"/>
      <c r="L425" s="6"/>
      <c r="M425" s="6"/>
      <c r="N425" s="6"/>
      <c r="O425" s="6"/>
      <c r="P425" s="6"/>
      <c r="Q425" s="6"/>
      <c r="R425" s="6"/>
      <c r="S425" s="26"/>
      <c r="T425" s="26"/>
      <c r="U425" s="27"/>
      <c r="V425" s="6"/>
      <c r="W425" s="6"/>
      <c r="X425" s="6"/>
      <c r="Y425" s="6"/>
      <c r="Z425" s="6"/>
      <c r="AA425" s="6"/>
      <c r="AB425" s="6"/>
      <c r="AC425" s="6"/>
      <c r="AD425" s="6"/>
    </row>
    <row r="426">
      <c r="A426" s="6"/>
      <c r="B426" s="6"/>
      <c r="C426" s="6"/>
      <c r="D426" s="6"/>
      <c r="E426" s="6"/>
      <c r="F426" s="6"/>
      <c r="G426" s="6"/>
      <c r="H426" s="25"/>
      <c r="I426" s="25"/>
      <c r="J426" s="6"/>
      <c r="K426" s="6"/>
      <c r="L426" s="6"/>
      <c r="M426" s="6"/>
      <c r="N426" s="6"/>
      <c r="O426" s="6"/>
      <c r="P426" s="6"/>
      <c r="Q426" s="6"/>
      <c r="R426" s="6"/>
      <c r="S426" s="26"/>
      <c r="T426" s="26"/>
      <c r="U426" s="27"/>
      <c r="V426" s="6"/>
      <c r="W426" s="6"/>
      <c r="X426" s="6"/>
      <c r="Y426" s="6"/>
      <c r="Z426" s="6"/>
      <c r="AA426" s="6"/>
      <c r="AB426" s="6"/>
      <c r="AC426" s="6"/>
      <c r="AD426" s="6"/>
    </row>
    <row r="427">
      <c r="A427" s="6"/>
      <c r="B427" s="6"/>
      <c r="C427" s="6"/>
      <c r="D427" s="6"/>
      <c r="E427" s="6"/>
      <c r="F427" s="6"/>
      <c r="G427" s="6"/>
      <c r="H427" s="25"/>
      <c r="I427" s="25"/>
      <c r="J427" s="6"/>
      <c r="K427" s="6"/>
      <c r="L427" s="6"/>
      <c r="M427" s="6"/>
      <c r="N427" s="6"/>
      <c r="O427" s="6"/>
      <c r="P427" s="6"/>
      <c r="Q427" s="6"/>
      <c r="R427" s="6"/>
      <c r="S427" s="26"/>
      <c r="T427" s="26"/>
      <c r="U427" s="27"/>
      <c r="V427" s="6"/>
      <c r="W427" s="6"/>
      <c r="X427" s="6"/>
      <c r="Y427" s="6"/>
      <c r="Z427" s="6"/>
      <c r="AA427" s="6"/>
      <c r="AB427" s="6"/>
      <c r="AC427" s="6"/>
      <c r="AD427" s="6"/>
    </row>
    <row r="428">
      <c r="A428" s="6"/>
      <c r="B428" s="6"/>
      <c r="C428" s="6"/>
      <c r="D428" s="6"/>
      <c r="E428" s="6"/>
      <c r="F428" s="6"/>
      <c r="G428" s="6"/>
      <c r="H428" s="25"/>
      <c r="I428" s="25"/>
      <c r="J428" s="6"/>
      <c r="K428" s="6"/>
      <c r="L428" s="6"/>
      <c r="M428" s="6"/>
      <c r="N428" s="6"/>
      <c r="O428" s="6"/>
      <c r="P428" s="6"/>
      <c r="Q428" s="6"/>
      <c r="R428" s="6"/>
      <c r="S428" s="26"/>
      <c r="T428" s="26"/>
      <c r="U428" s="27"/>
      <c r="V428" s="6"/>
      <c r="W428" s="6"/>
      <c r="X428" s="6"/>
      <c r="Y428" s="6"/>
      <c r="Z428" s="6"/>
      <c r="AA428" s="6"/>
      <c r="AB428" s="6"/>
      <c r="AC428" s="6"/>
      <c r="AD428" s="6"/>
    </row>
    <row r="429">
      <c r="A429" s="6"/>
      <c r="B429" s="6"/>
      <c r="C429" s="6"/>
      <c r="D429" s="6"/>
      <c r="E429" s="6"/>
      <c r="F429" s="6"/>
      <c r="G429" s="6"/>
      <c r="H429" s="25"/>
      <c r="I429" s="25"/>
      <c r="J429" s="6"/>
      <c r="K429" s="6"/>
      <c r="L429" s="6"/>
      <c r="M429" s="6"/>
      <c r="N429" s="6"/>
      <c r="O429" s="6"/>
      <c r="P429" s="6"/>
      <c r="Q429" s="6"/>
      <c r="R429" s="6"/>
      <c r="S429" s="26"/>
      <c r="T429" s="26"/>
      <c r="U429" s="27"/>
      <c r="V429" s="6"/>
      <c r="W429" s="6"/>
      <c r="X429" s="6"/>
      <c r="Y429" s="6"/>
      <c r="Z429" s="6"/>
      <c r="AA429" s="6"/>
      <c r="AB429" s="6"/>
      <c r="AC429" s="6"/>
      <c r="AD429" s="6"/>
    </row>
    <row r="430">
      <c r="A430" s="6"/>
      <c r="B430" s="6"/>
      <c r="C430" s="6"/>
      <c r="D430" s="6"/>
      <c r="E430" s="6"/>
      <c r="F430" s="6"/>
      <c r="G430" s="6"/>
      <c r="H430" s="25"/>
      <c r="I430" s="25"/>
      <c r="J430" s="6"/>
      <c r="K430" s="6"/>
      <c r="L430" s="6"/>
      <c r="M430" s="6"/>
      <c r="N430" s="6"/>
      <c r="O430" s="6"/>
      <c r="P430" s="6"/>
      <c r="Q430" s="6"/>
      <c r="R430" s="6"/>
      <c r="S430" s="26"/>
      <c r="T430" s="26"/>
      <c r="U430" s="27"/>
      <c r="V430" s="6"/>
      <c r="W430" s="6"/>
      <c r="X430" s="6"/>
      <c r="Y430" s="6"/>
      <c r="Z430" s="6"/>
      <c r="AA430" s="6"/>
      <c r="AB430" s="6"/>
      <c r="AC430" s="6"/>
      <c r="AD430" s="6"/>
    </row>
    <row r="431">
      <c r="A431" s="6"/>
      <c r="B431" s="6"/>
      <c r="C431" s="6"/>
      <c r="D431" s="6"/>
      <c r="E431" s="6"/>
      <c r="F431" s="6"/>
      <c r="G431" s="6"/>
      <c r="H431" s="25"/>
      <c r="I431" s="25"/>
      <c r="J431" s="6"/>
      <c r="K431" s="6"/>
      <c r="L431" s="6"/>
      <c r="M431" s="6"/>
      <c r="N431" s="6"/>
      <c r="O431" s="6"/>
      <c r="P431" s="6"/>
      <c r="Q431" s="6"/>
      <c r="R431" s="6"/>
      <c r="S431" s="26"/>
      <c r="T431" s="26"/>
      <c r="U431" s="27"/>
      <c r="V431" s="6"/>
      <c r="W431" s="6"/>
      <c r="X431" s="6"/>
      <c r="Y431" s="6"/>
      <c r="Z431" s="6"/>
      <c r="AA431" s="6"/>
      <c r="AB431" s="6"/>
      <c r="AC431" s="6"/>
      <c r="AD431" s="6"/>
    </row>
    <row r="432">
      <c r="A432" s="6"/>
      <c r="B432" s="6"/>
      <c r="C432" s="6"/>
      <c r="D432" s="6"/>
      <c r="E432" s="6"/>
      <c r="F432" s="6"/>
      <c r="G432" s="6"/>
      <c r="H432" s="25"/>
      <c r="I432" s="25"/>
      <c r="J432" s="6"/>
      <c r="K432" s="6"/>
      <c r="L432" s="6"/>
      <c r="M432" s="6"/>
      <c r="N432" s="6"/>
      <c r="O432" s="6"/>
      <c r="P432" s="6"/>
      <c r="Q432" s="6"/>
      <c r="R432" s="6"/>
      <c r="S432" s="26"/>
      <c r="T432" s="26"/>
      <c r="U432" s="27"/>
      <c r="V432" s="6"/>
      <c r="W432" s="6"/>
      <c r="X432" s="6"/>
      <c r="Y432" s="6"/>
      <c r="Z432" s="6"/>
      <c r="AA432" s="6"/>
      <c r="AB432" s="6"/>
      <c r="AC432" s="6"/>
      <c r="AD432" s="6"/>
    </row>
    <row r="433">
      <c r="A433" s="6"/>
      <c r="B433" s="6"/>
      <c r="C433" s="6"/>
      <c r="D433" s="6"/>
      <c r="E433" s="6"/>
      <c r="F433" s="6"/>
      <c r="G433" s="6"/>
      <c r="H433" s="25"/>
      <c r="I433" s="25"/>
      <c r="J433" s="6"/>
      <c r="K433" s="6"/>
      <c r="L433" s="6"/>
      <c r="M433" s="6"/>
      <c r="N433" s="6"/>
      <c r="O433" s="6"/>
      <c r="P433" s="6"/>
      <c r="Q433" s="6"/>
      <c r="R433" s="6"/>
      <c r="S433" s="26"/>
      <c r="T433" s="26"/>
      <c r="U433" s="27"/>
      <c r="V433" s="6"/>
      <c r="W433" s="6"/>
      <c r="X433" s="6"/>
      <c r="Y433" s="6"/>
      <c r="Z433" s="6"/>
      <c r="AA433" s="6"/>
      <c r="AB433" s="6"/>
      <c r="AC433" s="6"/>
      <c r="AD433" s="6"/>
    </row>
    <row r="434">
      <c r="A434" s="6"/>
      <c r="B434" s="6"/>
      <c r="C434" s="6"/>
      <c r="D434" s="6"/>
      <c r="E434" s="6"/>
      <c r="F434" s="6"/>
      <c r="G434" s="6"/>
      <c r="H434" s="25"/>
      <c r="I434" s="25"/>
      <c r="J434" s="6"/>
      <c r="K434" s="6"/>
      <c r="L434" s="6"/>
      <c r="M434" s="6"/>
      <c r="N434" s="6"/>
      <c r="O434" s="6"/>
      <c r="P434" s="6"/>
      <c r="Q434" s="6"/>
      <c r="R434" s="6"/>
      <c r="S434" s="26"/>
      <c r="T434" s="26"/>
      <c r="U434" s="27"/>
      <c r="V434" s="6"/>
      <c r="W434" s="6"/>
      <c r="X434" s="6"/>
      <c r="Y434" s="6"/>
      <c r="Z434" s="6"/>
      <c r="AA434" s="6"/>
      <c r="AB434" s="6"/>
      <c r="AC434" s="6"/>
      <c r="AD434" s="6"/>
    </row>
    <row r="435">
      <c r="A435" s="6"/>
      <c r="B435" s="6"/>
      <c r="C435" s="6"/>
      <c r="D435" s="6"/>
      <c r="E435" s="6"/>
      <c r="F435" s="6"/>
      <c r="G435" s="6"/>
      <c r="H435" s="25"/>
      <c r="I435" s="25"/>
      <c r="J435" s="6"/>
      <c r="K435" s="6"/>
      <c r="L435" s="6"/>
      <c r="M435" s="6"/>
      <c r="N435" s="6"/>
      <c r="O435" s="6"/>
      <c r="P435" s="6"/>
      <c r="Q435" s="6"/>
      <c r="R435" s="6"/>
      <c r="S435" s="26"/>
      <c r="T435" s="26"/>
      <c r="U435" s="27"/>
      <c r="V435" s="6"/>
      <c r="W435" s="6"/>
      <c r="X435" s="6"/>
      <c r="Y435" s="6"/>
      <c r="Z435" s="6"/>
      <c r="AA435" s="6"/>
      <c r="AB435" s="6"/>
      <c r="AC435" s="6"/>
      <c r="AD435" s="6"/>
    </row>
    <row r="436">
      <c r="A436" s="6"/>
      <c r="B436" s="6"/>
      <c r="C436" s="6"/>
      <c r="D436" s="6"/>
      <c r="E436" s="6"/>
      <c r="F436" s="6"/>
      <c r="G436" s="6"/>
      <c r="H436" s="25"/>
      <c r="I436" s="25"/>
      <c r="J436" s="6"/>
      <c r="K436" s="6"/>
      <c r="L436" s="6"/>
      <c r="M436" s="6"/>
      <c r="N436" s="6"/>
      <c r="O436" s="6"/>
      <c r="P436" s="6"/>
      <c r="Q436" s="6"/>
      <c r="R436" s="6"/>
      <c r="S436" s="26"/>
      <c r="T436" s="26"/>
      <c r="U436" s="27"/>
      <c r="V436" s="6"/>
      <c r="W436" s="6"/>
      <c r="X436" s="6"/>
      <c r="Y436" s="6"/>
      <c r="Z436" s="6"/>
      <c r="AA436" s="6"/>
      <c r="AB436" s="6"/>
      <c r="AC436" s="6"/>
      <c r="AD436" s="6"/>
    </row>
    <row r="437">
      <c r="A437" s="6"/>
      <c r="B437" s="6"/>
      <c r="C437" s="6"/>
      <c r="D437" s="6"/>
      <c r="E437" s="6"/>
      <c r="F437" s="6"/>
      <c r="G437" s="6"/>
      <c r="H437" s="25"/>
      <c r="I437" s="25"/>
      <c r="J437" s="6"/>
      <c r="K437" s="6"/>
      <c r="L437" s="6"/>
      <c r="M437" s="6"/>
      <c r="N437" s="6"/>
      <c r="O437" s="6"/>
      <c r="P437" s="6"/>
      <c r="Q437" s="6"/>
      <c r="R437" s="6"/>
      <c r="S437" s="26"/>
      <c r="T437" s="26"/>
      <c r="U437" s="27"/>
      <c r="V437" s="6"/>
      <c r="W437" s="6"/>
      <c r="X437" s="6"/>
      <c r="Y437" s="6"/>
      <c r="Z437" s="6"/>
      <c r="AA437" s="6"/>
      <c r="AB437" s="6"/>
      <c r="AC437" s="6"/>
      <c r="AD437" s="6"/>
    </row>
    <row r="438">
      <c r="A438" s="6"/>
      <c r="B438" s="6"/>
      <c r="C438" s="6"/>
      <c r="D438" s="6"/>
      <c r="E438" s="6"/>
      <c r="F438" s="6"/>
      <c r="G438" s="6"/>
      <c r="H438" s="25"/>
      <c r="I438" s="25"/>
      <c r="J438" s="6"/>
      <c r="K438" s="6"/>
      <c r="L438" s="6"/>
      <c r="M438" s="6"/>
      <c r="N438" s="6"/>
      <c r="O438" s="6"/>
      <c r="P438" s="6"/>
      <c r="Q438" s="6"/>
      <c r="R438" s="6"/>
      <c r="S438" s="26"/>
      <c r="T438" s="26"/>
      <c r="U438" s="27"/>
      <c r="V438" s="6"/>
      <c r="W438" s="6"/>
      <c r="X438" s="6"/>
      <c r="Y438" s="6"/>
      <c r="Z438" s="6"/>
      <c r="AA438" s="6"/>
      <c r="AB438" s="6"/>
      <c r="AC438" s="6"/>
      <c r="AD438" s="6"/>
    </row>
    <row r="439">
      <c r="A439" s="6"/>
      <c r="B439" s="6"/>
      <c r="C439" s="6"/>
      <c r="D439" s="6"/>
      <c r="E439" s="6"/>
      <c r="F439" s="6"/>
      <c r="G439" s="6"/>
      <c r="H439" s="25"/>
      <c r="I439" s="25"/>
      <c r="J439" s="6"/>
      <c r="K439" s="6"/>
      <c r="L439" s="6"/>
      <c r="M439" s="6"/>
      <c r="N439" s="6"/>
      <c r="O439" s="6"/>
      <c r="P439" s="6"/>
      <c r="Q439" s="6"/>
      <c r="R439" s="6"/>
      <c r="S439" s="26"/>
      <c r="T439" s="26"/>
      <c r="U439" s="27"/>
      <c r="V439" s="6"/>
      <c r="W439" s="6"/>
      <c r="X439" s="6"/>
      <c r="Y439" s="6"/>
      <c r="Z439" s="6"/>
      <c r="AA439" s="6"/>
      <c r="AB439" s="6"/>
      <c r="AC439" s="6"/>
      <c r="AD439" s="6"/>
    </row>
    <row r="440">
      <c r="A440" s="6"/>
      <c r="B440" s="6"/>
      <c r="C440" s="6"/>
      <c r="D440" s="6"/>
      <c r="E440" s="6"/>
      <c r="F440" s="6"/>
      <c r="G440" s="6"/>
      <c r="H440" s="25"/>
      <c r="I440" s="25"/>
      <c r="J440" s="6"/>
      <c r="K440" s="6"/>
      <c r="L440" s="6"/>
      <c r="M440" s="6"/>
      <c r="N440" s="6"/>
      <c r="O440" s="6"/>
      <c r="P440" s="6"/>
      <c r="Q440" s="6"/>
      <c r="R440" s="6"/>
      <c r="S440" s="26"/>
      <c r="T440" s="26"/>
      <c r="U440" s="27"/>
      <c r="V440" s="6"/>
      <c r="W440" s="6"/>
      <c r="X440" s="6"/>
      <c r="Y440" s="6"/>
      <c r="Z440" s="6"/>
      <c r="AA440" s="6"/>
      <c r="AB440" s="6"/>
      <c r="AC440" s="6"/>
      <c r="AD440" s="6"/>
    </row>
    <row r="441">
      <c r="A441" s="6"/>
      <c r="B441" s="6"/>
      <c r="C441" s="6"/>
      <c r="D441" s="6"/>
      <c r="E441" s="6"/>
      <c r="F441" s="6"/>
      <c r="G441" s="6"/>
      <c r="H441" s="25"/>
      <c r="I441" s="25"/>
      <c r="J441" s="6"/>
      <c r="K441" s="6"/>
      <c r="L441" s="6"/>
      <c r="M441" s="6"/>
      <c r="N441" s="6"/>
      <c r="O441" s="6"/>
      <c r="P441" s="6"/>
      <c r="Q441" s="6"/>
      <c r="R441" s="6"/>
      <c r="S441" s="26"/>
      <c r="T441" s="26"/>
      <c r="U441" s="27"/>
      <c r="V441" s="6"/>
      <c r="W441" s="6"/>
      <c r="X441" s="6"/>
      <c r="Y441" s="6"/>
      <c r="Z441" s="6"/>
      <c r="AA441" s="6"/>
      <c r="AB441" s="6"/>
      <c r="AC441" s="6"/>
      <c r="AD441" s="6"/>
    </row>
    <row r="442">
      <c r="A442" s="6"/>
      <c r="B442" s="6"/>
      <c r="C442" s="6"/>
      <c r="D442" s="6"/>
      <c r="E442" s="6"/>
      <c r="F442" s="6"/>
      <c r="G442" s="6"/>
      <c r="H442" s="25"/>
      <c r="I442" s="25"/>
      <c r="J442" s="6"/>
      <c r="K442" s="6"/>
      <c r="L442" s="6"/>
      <c r="M442" s="6"/>
      <c r="N442" s="6"/>
      <c r="O442" s="6"/>
      <c r="P442" s="6"/>
      <c r="Q442" s="6"/>
      <c r="R442" s="6"/>
      <c r="S442" s="26"/>
      <c r="T442" s="26"/>
      <c r="U442" s="27"/>
      <c r="V442" s="6"/>
      <c r="W442" s="6"/>
      <c r="X442" s="6"/>
      <c r="Y442" s="6"/>
      <c r="Z442" s="6"/>
      <c r="AA442" s="6"/>
      <c r="AB442" s="6"/>
      <c r="AC442" s="6"/>
      <c r="AD442" s="6"/>
    </row>
    <row r="443">
      <c r="A443" s="6"/>
      <c r="B443" s="6"/>
      <c r="C443" s="6"/>
      <c r="D443" s="6"/>
      <c r="E443" s="6"/>
      <c r="F443" s="6"/>
      <c r="G443" s="6"/>
      <c r="H443" s="25"/>
      <c r="I443" s="25"/>
      <c r="J443" s="6"/>
      <c r="K443" s="6"/>
      <c r="L443" s="6"/>
      <c r="M443" s="6"/>
      <c r="N443" s="6"/>
      <c r="O443" s="6"/>
      <c r="P443" s="6"/>
      <c r="Q443" s="6"/>
      <c r="R443" s="6"/>
      <c r="S443" s="26"/>
      <c r="T443" s="26"/>
      <c r="U443" s="27"/>
      <c r="V443" s="6"/>
      <c r="W443" s="6"/>
      <c r="X443" s="6"/>
      <c r="Y443" s="6"/>
      <c r="Z443" s="6"/>
      <c r="AA443" s="6"/>
      <c r="AB443" s="6"/>
      <c r="AC443" s="6"/>
      <c r="AD443" s="6"/>
    </row>
    <row r="444">
      <c r="A444" s="6"/>
      <c r="B444" s="6"/>
      <c r="C444" s="6"/>
      <c r="D444" s="6"/>
      <c r="E444" s="6"/>
      <c r="F444" s="6"/>
      <c r="G444" s="6"/>
      <c r="H444" s="25"/>
      <c r="I444" s="25"/>
      <c r="J444" s="6"/>
      <c r="K444" s="6"/>
      <c r="L444" s="6"/>
      <c r="M444" s="6"/>
      <c r="N444" s="6"/>
      <c r="O444" s="6"/>
      <c r="P444" s="6"/>
      <c r="Q444" s="6"/>
      <c r="R444" s="6"/>
      <c r="S444" s="26"/>
      <c r="T444" s="26"/>
      <c r="U444" s="27"/>
      <c r="V444" s="6"/>
      <c r="W444" s="6"/>
      <c r="X444" s="6"/>
      <c r="Y444" s="6"/>
      <c r="Z444" s="6"/>
      <c r="AA444" s="6"/>
      <c r="AB444" s="6"/>
      <c r="AC444" s="6"/>
      <c r="AD444" s="6"/>
    </row>
    <row r="445">
      <c r="A445" s="6"/>
      <c r="B445" s="6"/>
      <c r="C445" s="6"/>
      <c r="D445" s="6"/>
      <c r="E445" s="6"/>
      <c r="F445" s="6"/>
      <c r="G445" s="6"/>
      <c r="H445" s="25"/>
      <c r="I445" s="25"/>
      <c r="J445" s="6"/>
      <c r="K445" s="6"/>
      <c r="L445" s="6"/>
      <c r="M445" s="6"/>
      <c r="N445" s="6"/>
      <c r="O445" s="6"/>
      <c r="P445" s="6"/>
      <c r="Q445" s="6"/>
      <c r="R445" s="6"/>
      <c r="S445" s="26"/>
      <c r="T445" s="26"/>
      <c r="U445" s="27"/>
      <c r="V445" s="6"/>
      <c r="W445" s="6"/>
      <c r="X445" s="6"/>
      <c r="Y445" s="6"/>
      <c r="Z445" s="6"/>
      <c r="AA445" s="6"/>
      <c r="AB445" s="6"/>
      <c r="AC445" s="6"/>
      <c r="AD445" s="6"/>
    </row>
    <row r="446">
      <c r="A446" s="6"/>
      <c r="B446" s="6"/>
      <c r="C446" s="6"/>
      <c r="D446" s="6"/>
      <c r="E446" s="6"/>
      <c r="F446" s="6"/>
      <c r="G446" s="6"/>
      <c r="H446" s="25"/>
      <c r="I446" s="25"/>
      <c r="J446" s="6"/>
      <c r="K446" s="6"/>
      <c r="L446" s="6"/>
      <c r="M446" s="6"/>
      <c r="N446" s="6"/>
      <c r="O446" s="6"/>
      <c r="P446" s="6"/>
      <c r="Q446" s="6"/>
      <c r="R446" s="6"/>
      <c r="S446" s="26"/>
      <c r="T446" s="26"/>
      <c r="U446" s="27"/>
      <c r="V446" s="6"/>
      <c r="W446" s="6"/>
      <c r="X446" s="6"/>
      <c r="Y446" s="6"/>
      <c r="Z446" s="6"/>
      <c r="AA446" s="6"/>
      <c r="AB446" s="6"/>
      <c r="AC446" s="6"/>
      <c r="AD446" s="6"/>
    </row>
    <row r="447">
      <c r="A447" s="6"/>
      <c r="B447" s="6"/>
      <c r="C447" s="6"/>
      <c r="D447" s="6"/>
      <c r="E447" s="6"/>
      <c r="F447" s="6"/>
      <c r="G447" s="6"/>
      <c r="H447" s="25"/>
      <c r="I447" s="25"/>
      <c r="J447" s="6"/>
      <c r="K447" s="6"/>
      <c r="L447" s="6"/>
      <c r="M447" s="6"/>
      <c r="N447" s="6"/>
      <c r="O447" s="6"/>
      <c r="P447" s="6"/>
      <c r="Q447" s="6"/>
      <c r="R447" s="6"/>
      <c r="S447" s="26"/>
      <c r="T447" s="26"/>
      <c r="U447" s="27"/>
      <c r="V447" s="6"/>
      <c r="W447" s="6"/>
      <c r="X447" s="6"/>
      <c r="Y447" s="6"/>
      <c r="Z447" s="6"/>
      <c r="AA447" s="6"/>
      <c r="AB447" s="6"/>
      <c r="AC447" s="6"/>
      <c r="AD447" s="6"/>
    </row>
    <row r="448">
      <c r="A448" s="6"/>
      <c r="B448" s="6"/>
      <c r="C448" s="6"/>
      <c r="D448" s="6"/>
      <c r="E448" s="6"/>
      <c r="F448" s="6"/>
      <c r="G448" s="6"/>
      <c r="H448" s="25"/>
      <c r="I448" s="25"/>
      <c r="J448" s="6"/>
      <c r="K448" s="6"/>
      <c r="L448" s="6"/>
      <c r="M448" s="6"/>
      <c r="N448" s="6"/>
      <c r="O448" s="6"/>
      <c r="P448" s="6"/>
      <c r="Q448" s="6"/>
      <c r="R448" s="6"/>
      <c r="S448" s="26"/>
      <c r="T448" s="26"/>
      <c r="U448" s="27"/>
      <c r="V448" s="6"/>
      <c r="W448" s="6"/>
      <c r="X448" s="6"/>
      <c r="Y448" s="6"/>
      <c r="Z448" s="6"/>
      <c r="AA448" s="6"/>
      <c r="AB448" s="6"/>
      <c r="AC448" s="6"/>
      <c r="AD448" s="6"/>
    </row>
    <row r="449">
      <c r="A449" s="6"/>
      <c r="B449" s="6"/>
      <c r="C449" s="6"/>
      <c r="D449" s="6"/>
      <c r="E449" s="6"/>
      <c r="F449" s="6"/>
      <c r="G449" s="6"/>
      <c r="H449" s="25"/>
      <c r="I449" s="25"/>
      <c r="J449" s="6"/>
      <c r="K449" s="6"/>
      <c r="L449" s="6"/>
      <c r="M449" s="6"/>
      <c r="N449" s="6"/>
      <c r="O449" s="6"/>
      <c r="P449" s="6"/>
      <c r="Q449" s="6"/>
      <c r="R449" s="6"/>
      <c r="S449" s="26"/>
      <c r="T449" s="26"/>
      <c r="U449" s="27"/>
      <c r="V449" s="6"/>
      <c r="W449" s="6"/>
      <c r="X449" s="6"/>
      <c r="Y449" s="6"/>
      <c r="Z449" s="6"/>
      <c r="AA449" s="6"/>
      <c r="AB449" s="6"/>
      <c r="AC449" s="6"/>
      <c r="AD449" s="6"/>
    </row>
    <row r="450">
      <c r="A450" s="6"/>
      <c r="B450" s="6"/>
      <c r="C450" s="6"/>
      <c r="D450" s="6"/>
      <c r="E450" s="6"/>
      <c r="F450" s="6"/>
      <c r="G450" s="6"/>
      <c r="H450" s="25"/>
      <c r="I450" s="25"/>
      <c r="J450" s="6"/>
      <c r="K450" s="6"/>
      <c r="L450" s="6"/>
      <c r="M450" s="6"/>
      <c r="N450" s="6"/>
      <c r="O450" s="6"/>
      <c r="P450" s="6"/>
      <c r="Q450" s="6"/>
      <c r="R450" s="6"/>
      <c r="S450" s="26"/>
      <c r="T450" s="26"/>
      <c r="U450" s="27"/>
      <c r="V450" s="6"/>
      <c r="W450" s="6"/>
      <c r="X450" s="6"/>
      <c r="Y450" s="6"/>
      <c r="Z450" s="6"/>
      <c r="AA450" s="6"/>
      <c r="AB450" s="6"/>
      <c r="AC450" s="6"/>
      <c r="AD450" s="6"/>
    </row>
    <row r="451">
      <c r="A451" s="6"/>
      <c r="B451" s="6"/>
      <c r="C451" s="6"/>
      <c r="D451" s="6"/>
      <c r="E451" s="6"/>
      <c r="F451" s="6"/>
      <c r="G451" s="6"/>
      <c r="H451" s="25"/>
      <c r="I451" s="25"/>
      <c r="J451" s="6"/>
      <c r="K451" s="6"/>
      <c r="L451" s="6"/>
      <c r="M451" s="6"/>
      <c r="N451" s="6"/>
      <c r="O451" s="6"/>
      <c r="P451" s="6"/>
      <c r="Q451" s="6"/>
      <c r="R451" s="6"/>
      <c r="S451" s="26"/>
      <c r="T451" s="26"/>
      <c r="U451" s="27"/>
      <c r="V451" s="6"/>
      <c r="W451" s="6"/>
      <c r="X451" s="6"/>
      <c r="Y451" s="6"/>
      <c r="Z451" s="6"/>
      <c r="AA451" s="6"/>
      <c r="AB451" s="6"/>
      <c r="AC451" s="6"/>
      <c r="AD451" s="6"/>
    </row>
    <row r="452">
      <c r="A452" s="6"/>
      <c r="B452" s="6"/>
      <c r="C452" s="6"/>
      <c r="D452" s="6"/>
      <c r="E452" s="6"/>
      <c r="F452" s="6"/>
      <c r="G452" s="6"/>
      <c r="H452" s="25"/>
      <c r="I452" s="25"/>
      <c r="J452" s="6"/>
      <c r="K452" s="6"/>
      <c r="L452" s="6"/>
      <c r="M452" s="6"/>
      <c r="N452" s="6"/>
      <c r="O452" s="6"/>
      <c r="P452" s="6"/>
      <c r="Q452" s="6"/>
      <c r="R452" s="6"/>
      <c r="S452" s="26"/>
      <c r="T452" s="26"/>
      <c r="U452" s="27"/>
      <c r="V452" s="6"/>
      <c r="W452" s="6"/>
      <c r="X452" s="6"/>
      <c r="Y452" s="6"/>
      <c r="Z452" s="6"/>
      <c r="AA452" s="6"/>
      <c r="AB452" s="6"/>
      <c r="AC452" s="6"/>
      <c r="AD452" s="6"/>
    </row>
    <row r="453">
      <c r="A453" s="6"/>
      <c r="B453" s="6"/>
      <c r="C453" s="6"/>
      <c r="D453" s="6"/>
      <c r="E453" s="6"/>
      <c r="F453" s="6"/>
      <c r="G453" s="6"/>
      <c r="H453" s="25"/>
      <c r="I453" s="25"/>
      <c r="J453" s="6"/>
      <c r="K453" s="6"/>
      <c r="L453" s="6"/>
      <c r="M453" s="6"/>
      <c r="N453" s="6"/>
      <c r="O453" s="6"/>
      <c r="P453" s="6"/>
      <c r="Q453" s="6"/>
      <c r="R453" s="6"/>
      <c r="S453" s="26"/>
      <c r="T453" s="26"/>
      <c r="U453" s="27"/>
      <c r="V453" s="6"/>
      <c r="W453" s="6"/>
      <c r="X453" s="6"/>
      <c r="Y453" s="6"/>
      <c r="Z453" s="6"/>
      <c r="AA453" s="6"/>
      <c r="AB453" s="6"/>
      <c r="AC453" s="6"/>
      <c r="AD453" s="6"/>
    </row>
    <row r="454">
      <c r="A454" s="6"/>
      <c r="B454" s="6"/>
      <c r="C454" s="6"/>
      <c r="D454" s="6"/>
      <c r="E454" s="6"/>
      <c r="F454" s="6"/>
      <c r="G454" s="6"/>
      <c r="H454" s="25"/>
      <c r="I454" s="25"/>
      <c r="J454" s="6"/>
      <c r="K454" s="6"/>
      <c r="L454" s="6"/>
      <c r="M454" s="6"/>
      <c r="N454" s="6"/>
      <c r="O454" s="6"/>
      <c r="P454" s="6"/>
      <c r="Q454" s="6"/>
      <c r="R454" s="6"/>
      <c r="S454" s="26"/>
      <c r="T454" s="26"/>
      <c r="U454" s="27"/>
      <c r="V454" s="6"/>
      <c r="W454" s="6"/>
      <c r="X454" s="6"/>
      <c r="Y454" s="6"/>
      <c r="Z454" s="6"/>
      <c r="AA454" s="6"/>
      <c r="AB454" s="6"/>
      <c r="AC454" s="6"/>
      <c r="AD454" s="6"/>
    </row>
    <row r="455">
      <c r="A455" s="6"/>
      <c r="B455" s="6"/>
      <c r="C455" s="6"/>
      <c r="D455" s="6"/>
      <c r="E455" s="6"/>
      <c r="F455" s="6"/>
      <c r="G455" s="6"/>
      <c r="H455" s="25"/>
      <c r="I455" s="25"/>
      <c r="J455" s="6"/>
      <c r="K455" s="6"/>
      <c r="L455" s="6"/>
      <c r="M455" s="6"/>
      <c r="N455" s="6"/>
      <c r="O455" s="6"/>
      <c r="P455" s="6"/>
      <c r="Q455" s="6"/>
      <c r="R455" s="6"/>
      <c r="S455" s="26"/>
      <c r="T455" s="26"/>
      <c r="U455" s="27"/>
      <c r="V455" s="6"/>
      <c r="W455" s="6"/>
      <c r="X455" s="6"/>
      <c r="Y455" s="6"/>
      <c r="Z455" s="6"/>
      <c r="AA455" s="6"/>
      <c r="AB455" s="6"/>
      <c r="AC455" s="6"/>
      <c r="AD455" s="6"/>
    </row>
    <row r="456">
      <c r="A456" s="6"/>
      <c r="B456" s="6"/>
      <c r="C456" s="6"/>
      <c r="D456" s="6"/>
      <c r="E456" s="6"/>
      <c r="F456" s="6"/>
      <c r="G456" s="6"/>
      <c r="H456" s="25"/>
      <c r="I456" s="25"/>
      <c r="J456" s="6"/>
      <c r="K456" s="6"/>
      <c r="L456" s="6"/>
      <c r="M456" s="6"/>
      <c r="N456" s="6"/>
      <c r="O456" s="6"/>
      <c r="P456" s="6"/>
      <c r="Q456" s="6"/>
      <c r="R456" s="6"/>
      <c r="S456" s="26"/>
      <c r="T456" s="26"/>
      <c r="U456" s="27"/>
      <c r="V456" s="6"/>
      <c r="W456" s="6"/>
      <c r="X456" s="6"/>
      <c r="Y456" s="6"/>
      <c r="Z456" s="6"/>
      <c r="AA456" s="6"/>
      <c r="AB456" s="6"/>
      <c r="AC456" s="6"/>
      <c r="AD456" s="6"/>
    </row>
    <row r="457">
      <c r="A457" s="6"/>
      <c r="B457" s="6"/>
      <c r="C457" s="6"/>
      <c r="D457" s="6"/>
      <c r="E457" s="6"/>
      <c r="F457" s="6"/>
      <c r="G457" s="6"/>
      <c r="H457" s="25"/>
      <c r="I457" s="25"/>
      <c r="J457" s="6"/>
      <c r="K457" s="6"/>
      <c r="L457" s="6"/>
      <c r="M457" s="6"/>
      <c r="N457" s="6"/>
      <c r="O457" s="6"/>
      <c r="P457" s="6"/>
      <c r="Q457" s="6"/>
      <c r="R457" s="6"/>
      <c r="S457" s="26"/>
      <c r="T457" s="26"/>
      <c r="U457" s="27"/>
      <c r="V457" s="6"/>
      <c r="W457" s="6"/>
      <c r="X457" s="6"/>
      <c r="Y457" s="6"/>
      <c r="Z457" s="6"/>
      <c r="AA457" s="6"/>
      <c r="AB457" s="6"/>
      <c r="AC457" s="6"/>
      <c r="AD457" s="6"/>
    </row>
    <row r="458">
      <c r="A458" s="6"/>
      <c r="B458" s="6"/>
      <c r="C458" s="6"/>
      <c r="D458" s="6"/>
      <c r="E458" s="6"/>
      <c r="F458" s="6"/>
      <c r="G458" s="6"/>
      <c r="H458" s="25"/>
      <c r="I458" s="25"/>
      <c r="J458" s="6"/>
      <c r="K458" s="6"/>
      <c r="L458" s="6"/>
      <c r="M458" s="6"/>
      <c r="N458" s="6"/>
      <c r="O458" s="6"/>
      <c r="P458" s="6"/>
      <c r="Q458" s="6"/>
      <c r="R458" s="6"/>
      <c r="S458" s="26"/>
      <c r="T458" s="26"/>
      <c r="U458" s="27"/>
      <c r="V458" s="6"/>
      <c r="W458" s="6"/>
      <c r="X458" s="6"/>
      <c r="Y458" s="6"/>
      <c r="Z458" s="6"/>
      <c r="AA458" s="6"/>
      <c r="AB458" s="6"/>
      <c r="AC458" s="6"/>
      <c r="AD458" s="6"/>
    </row>
    <row r="459">
      <c r="A459" s="6"/>
      <c r="B459" s="6"/>
      <c r="C459" s="6"/>
      <c r="D459" s="6"/>
      <c r="E459" s="6"/>
      <c r="F459" s="6"/>
      <c r="G459" s="6"/>
      <c r="H459" s="25"/>
      <c r="I459" s="25"/>
      <c r="J459" s="6"/>
      <c r="K459" s="6"/>
      <c r="L459" s="6"/>
      <c r="M459" s="6"/>
      <c r="N459" s="6"/>
      <c r="O459" s="6"/>
      <c r="P459" s="6"/>
      <c r="Q459" s="6"/>
      <c r="R459" s="6"/>
      <c r="S459" s="26"/>
      <c r="T459" s="26"/>
      <c r="U459" s="27"/>
      <c r="V459" s="6"/>
      <c r="W459" s="6"/>
      <c r="X459" s="6"/>
      <c r="Y459" s="6"/>
      <c r="Z459" s="6"/>
      <c r="AA459" s="6"/>
      <c r="AB459" s="6"/>
      <c r="AC459" s="6"/>
      <c r="AD459" s="6"/>
    </row>
    <row r="460">
      <c r="A460" s="6"/>
      <c r="B460" s="6"/>
      <c r="C460" s="6"/>
      <c r="D460" s="6"/>
      <c r="E460" s="6"/>
      <c r="F460" s="6"/>
      <c r="G460" s="6"/>
      <c r="H460" s="25"/>
      <c r="I460" s="25"/>
      <c r="J460" s="6"/>
      <c r="K460" s="6"/>
      <c r="L460" s="6"/>
      <c r="M460" s="6"/>
      <c r="N460" s="6"/>
      <c r="O460" s="6"/>
      <c r="P460" s="6"/>
      <c r="Q460" s="6"/>
      <c r="R460" s="6"/>
      <c r="S460" s="26"/>
      <c r="T460" s="26"/>
      <c r="U460" s="27"/>
      <c r="V460" s="6"/>
      <c r="W460" s="6"/>
      <c r="X460" s="6"/>
      <c r="Y460" s="6"/>
      <c r="Z460" s="6"/>
      <c r="AA460" s="6"/>
      <c r="AB460" s="6"/>
      <c r="AC460" s="6"/>
      <c r="AD460" s="6"/>
    </row>
    <row r="461">
      <c r="A461" s="6"/>
      <c r="B461" s="6"/>
      <c r="C461" s="6"/>
      <c r="D461" s="6"/>
      <c r="E461" s="6"/>
      <c r="F461" s="6"/>
      <c r="G461" s="6"/>
      <c r="H461" s="25"/>
      <c r="I461" s="25"/>
      <c r="J461" s="6"/>
      <c r="K461" s="6"/>
      <c r="L461" s="6"/>
      <c r="M461" s="6"/>
      <c r="N461" s="6"/>
      <c r="O461" s="6"/>
      <c r="P461" s="6"/>
      <c r="Q461" s="6"/>
      <c r="R461" s="6"/>
      <c r="S461" s="26"/>
      <c r="T461" s="26"/>
      <c r="U461" s="27"/>
      <c r="V461" s="6"/>
      <c r="W461" s="6"/>
      <c r="X461" s="6"/>
      <c r="Y461" s="6"/>
      <c r="Z461" s="6"/>
      <c r="AA461" s="6"/>
      <c r="AB461" s="6"/>
      <c r="AC461" s="6"/>
      <c r="AD461" s="6"/>
    </row>
    <row r="462">
      <c r="A462" s="6"/>
      <c r="B462" s="6"/>
      <c r="C462" s="6"/>
      <c r="D462" s="6"/>
      <c r="E462" s="6"/>
      <c r="F462" s="6"/>
      <c r="G462" s="6"/>
      <c r="H462" s="25"/>
      <c r="I462" s="25"/>
      <c r="J462" s="6"/>
      <c r="K462" s="6"/>
      <c r="L462" s="6"/>
      <c r="M462" s="6"/>
      <c r="N462" s="6"/>
      <c r="O462" s="6"/>
      <c r="P462" s="6"/>
      <c r="Q462" s="6"/>
      <c r="R462" s="6"/>
      <c r="S462" s="26"/>
      <c r="T462" s="26"/>
      <c r="U462" s="27"/>
      <c r="V462" s="6"/>
      <c r="W462" s="6"/>
      <c r="X462" s="6"/>
      <c r="Y462" s="6"/>
      <c r="Z462" s="6"/>
      <c r="AA462" s="6"/>
      <c r="AB462" s="6"/>
      <c r="AC462" s="6"/>
      <c r="AD462" s="6"/>
    </row>
    <row r="463">
      <c r="A463" s="6"/>
      <c r="B463" s="6"/>
      <c r="C463" s="6"/>
      <c r="D463" s="6"/>
      <c r="E463" s="6"/>
      <c r="F463" s="6"/>
      <c r="G463" s="6"/>
      <c r="H463" s="25"/>
      <c r="I463" s="25"/>
      <c r="J463" s="6"/>
      <c r="K463" s="6"/>
      <c r="L463" s="6"/>
      <c r="M463" s="6"/>
      <c r="N463" s="6"/>
      <c r="O463" s="6"/>
      <c r="P463" s="6"/>
      <c r="Q463" s="6"/>
      <c r="R463" s="6"/>
      <c r="S463" s="26"/>
      <c r="T463" s="26"/>
      <c r="U463" s="27"/>
      <c r="V463" s="6"/>
      <c r="W463" s="6"/>
      <c r="X463" s="6"/>
      <c r="Y463" s="6"/>
      <c r="Z463" s="6"/>
      <c r="AA463" s="6"/>
      <c r="AB463" s="6"/>
      <c r="AC463" s="6"/>
      <c r="AD463" s="6"/>
    </row>
    <row r="464">
      <c r="A464" s="6"/>
      <c r="B464" s="6"/>
      <c r="C464" s="6"/>
      <c r="D464" s="6"/>
      <c r="E464" s="6"/>
      <c r="F464" s="6"/>
      <c r="G464" s="6"/>
      <c r="H464" s="25"/>
      <c r="I464" s="25"/>
      <c r="J464" s="6"/>
      <c r="K464" s="6"/>
      <c r="L464" s="6"/>
      <c r="M464" s="6"/>
      <c r="N464" s="6"/>
      <c r="O464" s="6"/>
      <c r="P464" s="6"/>
      <c r="Q464" s="6"/>
      <c r="R464" s="6"/>
      <c r="S464" s="26"/>
      <c r="T464" s="26"/>
      <c r="U464" s="27"/>
      <c r="V464" s="6"/>
      <c r="W464" s="6"/>
      <c r="X464" s="6"/>
      <c r="Y464" s="6"/>
      <c r="Z464" s="6"/>
      <c r="AA464" s="6"/>
      <c r="AB464" s="6"/>
      <c r="AC464" s="6"/>
      <c r="AD464" s="6"/>
    </row>
    <row r="465">
      <c r="A465" s="6"/>
      <c r="B465" s="6"/>
      <c r="C465" s="6"/>
      <c r="D465" s="6"/>
      <c r="E465" s="6"/>
      <c r="F465" s="6"/>
      <c r="G465" s="6"/>
      <c r="H465" s="25"/>
      <c r="I465" s="25"/>
      <c r="J465" s="6"/>
      <c r="K465" s="6"/>
      <c r="L465" s="6"/>
      <c r="M465" s="6"/>
      <c r="N465" s="6"/>
      <c r="O465" s="6"/>
      <c r="P465" s="6"/>
      <c r="Q465" s="6"/>
      <c r="R465" s="6"/>
      <c r="S465" s="26"/>
      <c r="T465" s="26"/>
      <c r="U465" s="27"/>
      <c r="V465" s="6"/>
      <c r="W465" s="6"/>
      <c r="X465" s="6"/>
      <c r="Y465" s="6"/>
      <c r="Z465" s="6"/>
      <c r="AA465" s="6"/>
      <c r="AB465" s="6"/>
      <c r="AC465" s="6"/>
      <c r="AD465" s="6"/>
    </row>
    <row r="466">
      <c r="A466" s="6"/>
      <c r="B466" s="6"/>
      <c r="C466" s="6"/>
      <c r="D466" s="6"/>
      <c r="E466" s="6"/>
      <c r="F466" s="6"/>
      <c r="G466" s="6"/>
      <c r="H466" s="25"/>
      <c r="I466" s="25"/>
      <c r="J466" s="6"/>
      <c r="K466" s="6"/>
      <c r="L466" s="6"/>
      <c r="M466" s="6"/>
      <c r="N466" s="6"/>
      <c r="O466" s="6"/>
      <c r="P466" s="6"/>
      <c r="Q466" s="6"/>
      <c r="R466" s="6"/>
      <c r="S466" s="26"/>
      <c r="T466" s="26"/>
      <c r="U466" s="27"/>
      <c r="V466" s="6"/>
      <c r="W466" s="6"/>
      <c r="X466" s="6"/>
      <c r="Y466" s="6"/>
      <c r="Z466" s="6"/>
      <c r="AA466" s="6"/>
      <c r="AB466" s="6"/>
      <c r="AC466" s="6"/>
      <c r="AD466" s="6"/>
    </row>
    <row r="467">
      <c r="A467" s="6"/>
      <c r="B467" s="6"/>
      <c r="C467" s="6"/>
      <c r="D467" s="6"/>
      <c r="E467" s="6"/>
      <c r="F467" s="6"/>
      <c r="G467" s="6"/>
      <c r="H467" s="25"/>
      <c r="I467" s="25"/>
      <c r="J467" s="6"/>
      <c r="K467" s="6"/>
      <c r="L467" s="6"/>
      <c r="M467" s="6"/>
      <c r="N467" s="6"/>
      <c r="O467" s="6"/>
      <c r="P467" s="6"/>
      <c r="Q467" s="6"/>
      <c r="R467" s="6"/>
      <c r="S467" s="26"/>
      <c r="T467" s="26"/>
      <c r="U467" s="27"/>
      <c r="V467" s="6"/>
      <c r="W467" s="6"/>
      <c r="X467" s="6"/>
      <c r="Y467" s="6"/>
      <c r="Z467" s="6"/>
      <c r="AA467" s="6"/>
      <c r="AB467" s="6"/>
      <c r="AC467" s="6"/>
      <c r="AD467" s="6"/>
    </row>
    <row r="468">
      <c r="A468" s="6"/>
      <c r="B468" s="6"/>
      <c r="C468" s="6"/>
      <c r="D468" s="6"/>
      <c r="E468" s="6"/>
      <c r="F468" s="6"/>
      <c r="G468" s="6"/>
      <c r="H468" s="25"/>
      <c r="I468" s="25"/>
      <c r="J468" s="6"/>
      <c r="K468" s="6"/>
      <c r="L468" s="6"/>
      <c r="M468" s="6"/>
      <c r="N468" s="6"/>
      <c r="O468" s="6"/>
      <c r="P468" s="6"/>
      <c r="Q468" s="6"/>
      <c r="R468" s="6"/>
      <c r="S468" s="26"/>
      <c r="T468" s="26"/>
      <c r="U468" s="27"/>
      <c r="V468" s="6"/>
      <c r="W468" s="6"/>
      <c r="X468" s="6"/>
      <c r="Y468" s="6"/>
      <c r="Z468" s="6"/>
      <c r="AA468" s="6"/>
      <c r="AB468" s="6"/>
      <c r="AC468" s="6"/>
      <c r="AD468" s="6"/>
    </row>
    <row r="469">
      <c r="A469" s="6"/>
      <c r="B469" s="6"/>
      <c r="C469" s="6"/>
      <c r="D469" s="6"/>
      <c r="E469" s="6"/>
      <c r="F469" s="6"/>
      <c r="G469" s="6"/>
      <c r="H469" s="25"/>
      <c r="I469" s="25"/>
      <c r="J469" s="6"/>
      <c r="K469" s="6"/>
      <c r="L469" s="6"/>
      <c r="M469" s="6"/>
      <c r="N469" s="6"/>
      <c r="O469" s="6"/>
      <c r="P469" s="6"/>
      <c r="Q469" s="6"/>
      <c r="R469" s="6"/>
      <c r="S469" s="26"/>
      <c r="T469" s="26"/>
      <c r="U469" s="27"/>
      <c r="V469" s="6"/>
      <c r="W469" s="6"/>
      <c r="X469" s="6"/>
      <c r="Y469" s="6"/>
      <c r="Z469" s="6"/>
      <c r="AA469" s="6"/>
      <c r="AB469" s="6"/>
      <c r="AC469" s="6"/>
      <c r="AD469" s="6"/>
    </row>
    <row r="470">
      <c r="A470" s="6"/>
      <c r="B470" s="6"/>
      <c r="C470" s="6"/>
      <c r="D470" s="6"/>
      <c r="E470" s="6"/>
      <c r="F470" s="6"/>
      <c r="G470" s="6"/>
      <c r="H470" s="25"/>
      <c r="I470" s="25"/>
      <c r="J470" s="6"/>
      <c r="K470" s="6"/>
      <c r="L470" s="6"/>
      <c r="M470" s="6"/>
      <c r="N470" s="6"/>
      <c r="O470" s="6"/>
      <c r="P470" s="6"/>
      <c r="Q470" s="6"/>
      <c r="R470" s="6"/>
      <c r="S470" s="26"/>
      <c r="T470" s="26"/>
      <c r="U470" s="27"/>
      <c r="V470" s="6"/>
      <c r="W470" s="6"/>
      <c r="X470" s="6"/>
      <c r="Y470" s="6"/>
      <c r="Z470" s="6"/>
      <c r="AA470" s="6"/>
      <c r="AB470" s="6"/>
      <c r="AC470" s="6"/>
      <c r="AD470" s="6"/>
    </row>
    <row r="471">
      <c r="A471" s="6"/>
      <c r="B471" s="6"/>
      <c r="C471" s="6"/>
      <c r="D471" s="6"/>
      <c r="E471" s="6"/>
      <c r="F471" s="6"/>
      <c r="G471" s="6"/>
      <c r="H471" s="25"/>
      <c r="I471" s="25"/>
      <c r="J471" s="6"/>
      <c r="K471" s="6"/>
      <c r="L471" s="6"/>
      <c r="M471" s="6"/>
      <c r="N471" s="6"/>
      <c r="O471" s="6"/>
      <c r="P471" s="6"/>
      <c r="Q471" s="6"/>
      <c r="R471" s="6"/>
      <c r="S471" s="26"/>
      <c r="T471" s="26"/>
      <c r="U471" s="27"/>
      <c r="V471" s="6"/>
      <c r="W471" s="6"/>
      <c r="X471" s="6"/>
      <c r="Y471" s="6"/>
      <c r="Z471" s="6"/>
      <c r="AA471" s="6"/>
      <c r="AB471" s="6"/>
      <c r="AC471" s="6"/>
      <c r="AD471" s="6"/>
    </row>
    <row r="472">
      <c r="A472" s="6"/>
      <c r="B472" s="6"/>
      <c r="C472" s="6"/>
      <c r="D472" s="6"/>
      <c r="E472" s="6"/>
      <c r="F472" s="6"/>
      <c r="G472" s="6"/>
      <c r="H472" s="25"/>
      <c r="I472" s="25"/>
      <c r="J472" s="6"/>
      <c r="K472" s="6"/>
      <c r="L472" s="6"/>
      <c r="M472" s="6"/>
      <c r="N472" s="6"/>
      <c r="O472" s="6"/>
      <c r="P472" s="6"/>
      <c r="Q472" s="6"/>
      <c r="R472" s="6"/>
      <c r="S472" s="26"/>
      <c r="T472" s="26"/>
      <c r="U472" s="27"/>
      <c r="V472" s="6"/>
      <c r="W472" s="6"/>
      <c r="X472" s="6"/>
      <c r="Y472" s="6"/>
      <c r="Z472" s="6"/>
      <c r="AA472" s="6"/>
      <c r="AB472" s="6"/>
      <c r="AC472" s="6"/>
      <c r="AD472" s="6"/>
    </row>
    <row r="473">
      <c r="A473" s="6"/>
      <c r="B473" s="6"/>
      <c r="C473" s="6"/>
      <c r="D473" s="6"/>
      <c r="E473" s="6"/>
      <c r="F473" s="6"/>
      <c r="G473" s="6"/>
      <c r="H473" s="25"/>
      <c r="I473" s="25"/>
      <c r="J473" s="6"/>
      <c r="K473" s="6"/>
      <c r="L473" s="6"/>
      <c r="M473" s="6"/>
      <c r="N473" s="6"/>
      <c r="O473" s="6"/>
      <c r="P473" s="6"/>
      <c r="Q473" s="6"/>
      <c r="R473" s="6"/>
      <c r="S473" s="26"/>
      <c r="T473" s="26"/>
      <c r="U473" s="27"/>
      <c r="V473" s="6"/>
      <c r="W473" s="6"/>
      <c r="X473" s="6"/>
      <c r="Y473" s="6"/>
      <c r="Z473" s="6"/>
      <c r="AA473" s="6"/>
      <c r="AB473" s="6"/>
      <c r="AC473" s="6"/>
      <c r="AD473" s="6"/>
    </row>
    <row r="474">
      <c r="A474" s="6"/>
      <c r="B474" s="6"/>
      <c r="C474" s="6"/>
      <c r="D474" s="6"/>
      <c r="E474" s="6"/>
      <c r="F474" s="6"/>
      <c r="G474" s="6"/>
      <c r="H474" s="25"/>
      <c r="I474" s="25"/>
      <c r="J474" s="6"/>
      <c r="K474" s="6"/>
      <c r="L474" s="6"/>
      <c r="M474" s="6"/>
      <c r="N474" s="6"/>
      <c r="O474" s="6"/>
      <c r="P474" s="6"/>
      <c r="Q474" s="6"/>
      <c r="R474" s="6"/>
      <c r="S474" s="26"/>
      <c r="T474" s="26"/>
      <c r="U474" s="27"/>
      <c r="V474" s="6"/>
      <c r="W474" s="6"/>
      <c r="X474" s="6"/>
      <c r="Y474" s="6"/>
      <c r="Z474" s="6"/>
      <c r="AA474" s="6"/>
      <c r="AB474" s="6"/>
      <c r="AC474" s="6"/>
      <c r="AD474" s="6"/>
    </row>
    <row r="475">
      <c r="A475" s="6"/>
      <c r="B475" s="6"/>
      <c r="C475" s="6"/>
      <c r="D475" s="6"/>
      <c r="E475" s="6"/>
      <c r="F475" s="6"/>
      <c r="G475" s="6"/>
      <c r="H475" s="25"/>
      <c r="I475" s="25"/>
      <c r="J475" s="6"/>
      <c r="K475" s="6"/>
      <c r="L475" s="6"/>
      <c r="M475" s="6"/>
      <c r="N475" s="6"/>
      <c r="O475" s="6"/>
      <c r="P475" s="6"/>
      <c r="Q475" s="6"/>
      <c r="R475" s="6"/>
      <c r="S475" s="26"/>
      <c r="T475" s="26"/>
      <c r="U475" s="27"/>
      <c r="V475" s="6"/>
      <c r="W475" s="6"/>
      <c r="X475" s="6"/>
      <c r="Y475" s="6"/>
      <c r="Z475" s="6"/>
      <c r="AA475" s="6"/>
      <c r="AB475" s="6"/>
      <c r="AC475" s="6"/>
      <c r="AD475" s="6"/>
    </row>
    <row r="476">
      <c r="A476" s="6"/>
      <c r="B476" s="6"/>
      <c r="C476" s="6"/>
      <c r="D476" s="6"/>
      <c r="E476" s="6"/>
      <c r="F476" s="6"/>
      <c r="G476" s="6"/>
      <c r="H476" s="25"/>
      <c r="I476" s="25"/>
      <c r="J476" s="6"/>
      <c r="K476" s="6"/>
      <c r="L476" s="6"/>
      <c r="M476" s="6"/>
      <c r="N476" s="6"/>
      <c r="O476" s="6"/>
      <c r="P476" s="6"/>
      <c r="Q476" s="6"/>
      <c r="R476" s="6"/>
      <c r="S476" s="26"/>
      <c r="T476" s="26"/>
      <c r="U476" s="27"/>
      <c r="V476" s="6"/>
      <c r="W476" s="6"/>
      <c r="X476" s="6"/>
      <c r="Y476" s="6"/>
      <c r="Z476" s="6"/>
      <c r="AA476" s="6"/>
      <c r="AB476" s="6"/>
      <c r="AC476" s="6"/>
      <c r="AD476" s="6"/>
    </row>
    <row r="477">
      <c r="A477" s="6"/>
      <c r="B477" s="6"/>
      <c r="C477" s="6"/>
      <c r="D477" s="6"/>
      <c r="E477" s="6"/>
      <c r="F477" s="6"/>
      <c r="G477" s="6"/>
      <c r="H477" s="25"/>
      <c r="I477" s="25"/>
      <c r="J477" s="6"/>
      <c r="K477" s="6"/>
      <c r="L477" s="6"/>
      <c r="M477" s="6"/>
      <c r="N477" s="6"/>
      <c r="O477" s="6"/>
      <c r="P477" s="6"/>
      <c r="Q477" s="6"/>
      <c r="R477" s="6"/>
      <c r="S477" s="26"/>
      <c r="T477" s="26"/>
      <c r="U477" s="27"/>
      <c r="V477" s="6"/>
      <c r="W477" s="6"/>
      <c r="X477" s="6"/>
      <c r="Y477" s="6"/>
      <c r="Z477" s="6"/>
      <c r="AA477" s="6"/>
      <c r="AB477" s="6"/>
      <c r="AC477" s="6"/>
      <c r="AD477" s="6"/>
    </row>
    <row r="478">
      <c r="A478" s="6"/>
      <c r="B478" s="6"/>
      <c r="C478" s="6"/>
      <c r="D478" s="6"/>
      <c r="E478" s="6"/>
      <c r="F478" s="6"/>
      <c r="G478" s="6"/>
      <c r="H478" s="25"/>
      <c r="I478" s="25"/>
      <c r="J478" s="6"/>
      <c r="K478" s="6"/>
      <c r="L478" s="6"/>
      <c r="M478" s="6"/>
      <c r="N478" s="6"/>
      <c r="O478" s="6"/>
      <c r="P478" s="6"/>
      <c r="Q478" s="6"/>
      <c r="R478" s="6"/>
      <c r="S478" s="26"/>
      <c r="T478" s="26"/>
      <c r="U478" s="27"/>
      <c r="V478" s="6"/>
      <c r="W478" s="6"/>
      <c r="X478" s="6"/>
      <c r="Y478" s="6"/>
      <c r="Z478" s="6"/>
      <c r="AA478" s="6"/>
      <c r="AB478" s="6"/>
      <c r="AC478" s="6"/>
      <c r="AD478" s="6"/>
    </row>
    <row r="479">
      <c r="A479" s="6"/>
      <c r="B479" s="6"/>
      <c r="C479" s="6"/>
      <c r="D479" s="6"/>
      <c r="E479" s="6"/>
      <c r="F479" s="6"/>
      <c r="G479" s="6"/>
      <c r="H479" s="25"/>
      <c r="I479" s="25"/>
      <c r="J479" s="6"/>
      <c r="K479" s="6"/>
      <c r="L479" s="6"/>
      <c r="M479" s="6"/>
      <c r="N479" s="6"/>
      <c r="O479" s="6"/>
      <c r="P479" s="6"/>
      <c r="Q479" s="6"/>
      <c r="R479" s="6"/>
      <c r="S479" s="26"/>
      <c r="T479" s="26"/>
      <c r="U479" s="27"/>
      <c r="V479" s="6"/>
      <c r="W479" s="6"/>
      <c r="X479" s="6"/>
      <c r="Y479" s="6"/>
      <c r="Z479" s="6"/>
      <c r="AA479" s="6"/>
      <c r="AB479" s="6"/>
      <c r="AC479" s="6"/>
      <c r="AD479" s="6"/>
    </row>
    <row r="480">
      <c r="A480" s="6"/>
      <c r="B480" s="6"/>
      <c r="C480" s="6"/>
      <c r="D480" s="6"/>
      <c r="E480" s="6"/>
      <c r="F480" s="6"/>
      <c r="G480" s="6"/>
      <c r="H480" s="25"/>
      <c r="I480" s="25"/>
      <c r="J480" s="6"/>
      <c r="K480" s="6"/>
      <c r="L480" s="6"/>
      <c r="M480" s="6"/>
      <c r="N480" s="6"/>
      <c r="O480" s="6"/>
      <c r="P480" s="6"/>
      <c r="Q480" s="6"/>
      <c r="R480" s="6"/>
      <c r="S480" s="26"/>
      <c r="T480" s="26"/>
      <c r="U480" s="27"/>
      <c r="V480" s="6"/>
      <c r="W480" s="6"/>
      <c r="X480" s="6"/>
      <c r="Y480" s="6"/>
      <c r="Z480" s="6"/>
      <c r="AA480" s="6"/>
      <c r="AB480" s="6"/>
      <c r="AC480" s="6"/>
      <c r="AD480" s="6"/>
    </row>
    <row r="481">
      <c r="A481" s="6"/>
      <c r="B481" s="6"/>
      <c r="C481" s="6"/>
      <c r="D481" s="6"/>
      <c r="E481" s="6"/>
      <c r="F481" s="6"/>
      <c r="G481" s="6"/>
      <c r="H481" s="25"/>
      <c r="I481" s="25"/>
      <c r="J481" s="6"/>
      <c r="K481" s="6"/>
      <c r="L481" s="6"/>
      <c r="M481" s="6"/>
      <c r="N481" s="6"/>
      <c r="O481" s="6"/>
      <c r="P481" s="6"/>
      <c r="Q481" s="6"/>
      <c r="R481" s="6"/>
      <c r="S481" s="26"/>
      <c r="T481" s="26"/>
      <c r="U481" s="27"/>
      <c r="V481" s="6"/>
      <c r="W481" s="6"/>
      <c r="X481" s="6"/>
      <c r="Y481" s="6"/>
      <c r="Z481" s="6"/>
      <c r="AA481" s="6"/>
      <c r="AB481" s="6"/>
      <c r="AC481" s="6"/>
      <c r="AD481" s="6"/>
    </row>
    <row r="482">
      <c r="A482" s="6"/>
      <c r="B482" s="6"/>
      <c r="C482" s="6"/>
      <c r="D482" s="6"/>
      <c r="E482" s="6"/>
      <c r="F482" s="6"/>
      <c r="G482" s="6"/>
      <c r="H482" s="25"/>
      <c r="I482" s="25"/>
      <c r="J482" s="6"/>
      <c r="K482" s="6"/>
      <c r="L482" s="6"/>
      <c r="M482" s="6"/>
      <c r="N482" s="6"/>
      <c r="O482" s="6"/>
      <c r="P482" s="6"/>
      <c r="Q482" s="6"/>
      <c r="R482" s="6"/>
      <c r="S482" s="26"/>
      <c r="T482" s="26"/>
      <c r="U482" s="27"/>
      <c r="V482" s="6"/>
      <c r="W482" s="6"/>
      <c r="X482" s="6"/>
      <c r="Y482" s="6"/>
      <c r="Z482" s="6"/>
      <c r="AA482" s="6"/>
      <c r="AB482" s="6"/>
      <c r="AC482" s="6"/>
      <c r="AD482" s="6"/>
    </row>
    <row r="483">
      <c r="A483" s="6"/>
      <c r="B483" s="6"/>
      <c r="C483" s="6"/>
      <c r="D483" s="6"/>
      <c r="E483" s="6"/>
      <c r="F483" s="6"/>
      <c r="G483" s="6"/>
      <c r="H483" s="25"/>
      <c r="I483" s="25"/>
      <c r="J483" s="6"/>
      <c r="K483" s="6"/>
      <c r="L483" s="6"/>
      <c r="M483" s="6"/>
      <c r="N483" s="6"/>
      <c r="O483" s="6"/>
      <c r="P483" s="6"/>
      <c r="Q483" s="6"/>
      <c r="R483" s="6"/>
      <c r="S483" s="26"/>
      <c r="T483" s="26"/>
      <c r="U483" s="27"/>
      <c r="V483" s="6"/>
      <c r="W483" s="6"/>
      <c r="X483" s="6"/>
      <c r="Y483" s="6"/>
      <c r="Z483" s="6"/>
      <c r="AA483" s="6"/>
      <c r="AB483" s="6"/>
      <c r="AC483" s="6"/>
      <c r="AD483" s="6"/>
    </row>
    <row r="484">
      <c r="A484" s="6"/>
      <c r="B484" s="6"/>
      <c r="C484" s="6"/>
      <c r="D484" s="6"/>
      <c r="E484" s="6"/>
      <c r="F484" s="6"/>
      <c r="G484" s="6"/>
      <c r="H484" s="25"/>
      <c r="I484" s="25"/>
      <c r="J484" s="6"/>
      <c r="K484" s="6"/>
      <c r="L484" s="6"/>
      <c r="M484" s="6"/>
      <c r="N484" s="6"/>
      <c r="O484" s="6"/>
      <c r="P484" s="6"/>
      <c r="Q484" s="6"/>
      <c r="R484" s="6"/>
      <c r="S484" s="26"/>
      <c r="T484" s="26"/>
      <c r="U484" s="27"/>
      <c r="V484" s="6"/>
      <c r="W484" s="6"/>
      <c r="X484" s="6"/>
      <c r="Y484" s="6"/>
      <c r="Z484" s="6"/>
      <c r="AA484" s="6"/>
      <c r="AB484" s="6"/>
      <c r="AC484" s="6"/>
      <c r="AD484" s="6"/>
    </row>
    <row r="485">
      <c r="A485" s="6"/>
      <c r="B485" s="6"/>
      <c r="C485" s="6"/>
      <c r="D485" s="6"/>
      <c r="E485" s="6"/>
      <c r="F485" s="6"/>
      <c r="G485" s="6"/>
      <c r="H485" s="25"/>
      <c r="I485" s="25"/>
      <c r="J485" s="6"/>
      <c r="K485" s="6"/>
      <c r="L485" s="6"/>
      <c r="M485" s="6"/>
      <c r="N485" s="6"/>
      <c r="O485" s="6"/>
      <c r="P485" s="6"/>
      <c r="Q485" s="6"/>
      <c r="R485" s="6"/>
      <c r="S485" s="26"/>
      <c r="T485" s="26"/>
      <c r="U485" s="27"/>
      <c r="V485" s="6"/>
      <c r="W485" s="6"/>
      <c r="X485" s="6"/>
      <c r="Y485" s="6"/>
      <c r="Z485" s="6"/>
      <c r="AA485" s="6"/>
      <c r="AB485" s="6"/>
      <c r="AC485" s="6"/>
      <c r="AD485" s="6"/>
    </row>
    <row r="486">
      <c r="A486" s="6"/>
      <c r="B486" s="6"/>
      <c r="C486" s="6"/>
      <c r="D486" s="6"/>
      <c r="E486" s="6"/>
      <c r="F486" s="6"/>
      <c r="G486" s="6"/>
      <c r="H486" s="25"/>
      <c r="I486" s="25"/>
      <c r="J486" s="6"/>
      <c r="K486" s="6"/>
      <c r="L486" s="6"/>
      <c r="M486" s="6"/>
      <c r="N486" s="6"/>
      <c r="O486" s="6"/>
      <c r="P486" s="6"/>
      <c r="Q486" s="6"/>
      <c r="R486" s="6"/>
      <c r="S486" s="26"/>
      <c r="T486" s="26"/>
      <c r="U486" s="27"/>
      <c r="V486" s="6"/>
      <c r="W486" s="6"/>
      <c r="X486" s="6"/>
      <c r="Y486" s="6"/>
      <c r="Z486" s="6"/>
      <c r="AA486" s="6"/>
      <c r="AB486" s="6"/>
      <c r="AC486" s="6"/>
      <c r="AD486" s="6"/>
    </row>
    <row r="487">
      <c r="A487" s="6"/>
      <c r="B487" s="6"/>
      <c r="C487" s="6"/>
      <c r="D487" s="6"/>
      <c r="E487" s="6"/>
      <c r="F487" s="6"/>
      <c r="G487" s="6"/>
      <c r="H487" s="25"/>
      <c r="I487" s="25"/>
      <c r="J487" s="6"/>
      <c r="K487" s="6"/>
      <c r="L487" s="6"/>
      <c r="M487" s="6"/>
      <c r="N487" s="6"/>
      <c r="O487" s="6"/>
      <c r="P487" s="6"/>
      <c r="Q487" s="6"/>
      <c r="R487" s="6"/>
      <c r="S487" s="26"/>
      <c r="T487" s="26"/>
      <c r="U487" s="27"/>
      <c r="V487" s="6"/>
      <c r="W487" s="6"/>
      <c r="X487" s="6"/>
      <c r="Y487" s="6"/>
      <c r="Z487" s="6"/>
      <c r="AA487" s="6"/>
      <c r="AB487" s="6"/>
      <c r="AC487" s="6"/>
      <c r="AD487" s="6"/>
    </row>
    <row r="488">
      <c r="A488" s="6"/>
      <c r="B488" s="6"/>
      <c r="C488" s="6"/>
      <c r="D488" s="6"/>
      <c r="E488" s="6"/>
      <c r="F488" s="6"/>
      <c r="G488" s="6"/>
      <c r="H488" s="25"/>
      <c r="I488" s="25"/>
      <c r="J488" s="6"/>
      <c r="K488" s="6"/>
      <c r="L488" s="6"/>
      <c r="M488" s="6"/>
      <c r="N488" s="6"/>
      <c r="O488" s="6"/>
      <c r="P488" s="6"/>
      <c r="Q488" s="6"/>
      <c r="R488" s="6"/>
      <c r="S488" s="26"/>
      <c r="T488" s="26"/>
      <c r="U488" s="27"/>
      <c r="V488" s="6"/>
      <c r="W488" s="6"/>
      <c r="X488" s="6"/>
      <c r="Y488" s="6"/>
      <c r="Z488" s="6"/>
      <c r="AA488" s="6"/>
      <c r="AB488" s="6"/>
      <c r="AC488" s="6"/>
      <c r="AD488" s="6"/>
    </row>
    <row r="489">
      <c r="A489" s="6"/>
      <c r="B489" s="6"/>
      <c r="C489" s="6"/>
      <c r="D489" s="6"/>
      <c r="E489" s="6"/>
      <c r="F489" s="6"/>
      <c r="G489" s="6"/>
      <c r="H489" s="25"/>
      <c r="I489" s="25"/>
      <c r="J489" s="6"/>
      <c r="K489" s="6"/>
      <c r="L489" s="6"/>
      <c r="M489" s="6"/>
      <c r="N489" s="6"/>
      <c r="O489" s="6"/>
      <c r="P489" s="6"/>
      <c r="Q489" s="6"/>
      <c r="R489" s="6"/>
      <c r="S489" s="26"/>
      <c r="T489" s="26"/>
      <c r="U489" s="27"/>
      <c r="V489" s="6"/>
      <c r="W489" s="6"/>
      <c r="X489" s="6"/>
      <c r="Y489" s="6"/>
      <c r="Z489" s="6"/>
      <c r="AA489" s="6"/>
      <c r="AB489" s="6"/>
      <c r="AC489" s="6"/>
      <c r="AD489" s="6"/>
    </row>
    <row r="490">
      <c r="A490" s="6"/>
      <c r="B490" s="6"/>
      <c r="C490" s="6"/>
      <c r="D490" s="6"/>
      <c r="E490" s="6"/>
      <c r="F490" s="6"/>
      <c r="G490" s="6"/>
      <c r="H490" s="25"/>
      <c r="I490" s="25"/>
      <c r="J490" s="6"/>
      <c r="K490" s="6"/>
      <c r="L490" s="6"/>
      <c r="M490" s="6"/>
      <c r="N490" s="6"/>
      <c r="O490" s="6"/>
      <c r="P490" s="6"/>
      <c r="Q490" s="6"/>
      <c r="R490" s="6"/>
      <c r="S490" s="26"/>
      <c r="T490" s="26"/>
      <c r="U490" s="27"/>
      <c r="V490" s="6"/>
      <c r="W490" s="6"/>
      <c r="X490" s="6"/>
      <c r="Y490" s="6"/>
      <c r="Z490" s="6"/>
      <c r="AA490" s="6"/>
      <c r="AB490" s="6"/>
      <c r="AC490" s="6"/>
      <c r="AD490" s="6"/>
    </row>
    <row r="491">
      <c r="A491" s="6"/>
      <c r="B491" s="6"/>
      <c r="C491" s="6"/>
      <c r="D491" s="6"/>
      <c r="E491" s="6"/>
      <c r="F491" s="6"/>
      <c r="G491" s="6"/>
      <c r="H491" s="25"/>
      <c r="I491" s="25"/>
      <c r="J491" s="6"/>
      <c r="K491" s="6"/>
      <c r="L491" s="6"/>
      <c r="M491" s="6"/>
      <c r="N491" s="6"/>
      <c r="O491" s="6"/>
      <c r="P491" s="6"/>
      <c r="Q491" s="6"/>
      <c r="R491" s="6"/>
      <c r="S491" s="26"/>
      <c r="T491" s="26"/>
      <c r="U491" s="27"/>
      <c r="V491" s="6"/>
      <c r="W491" s="6"/>
      <c r="X491" s="6"/>
      <c r="Y491" s="6"/>
      <c r="Z491" s="6"/>
      <c r="AA491" s="6"/>
      <c r="AB491" s="6"/>
      <c r="AC491" s="6"/>
      <c r="AD491" s="6"/>
    </row>
    <row r="492">
      <c r="A492" s="6"/>
      <c r="B492" s="6"/>
      <c r="C492" s="6"/>
      <c r="D492" s="6"/>
      <c r="E492" s="6"/>
      <c r="F492" s="6"/>
      <c r="G492" s="6"/>
      <c r="H492" s="25"/>
      <c r="I492" s="25"/>
      <c r="J492" s="6"/>
      <c r="K492" s="6"/>
      <c r="L492" s="6"/>
      <c r="M492" s="6"/>
      <c r="N492" s="6"/>
      <c r="O492" s="6"/>
      <c r="P492" s="6"/>
      <c r="Q492" s="6"/>
      <c r="R492" s="6"/>
      <c r="S492" s="26"/>
      <c r="T492" s="26"/>
      <c r="U492" s="27"/>
      <c r="V492" s="6"/>
      <c r="W492" s="6"/>
      <c r="X492" s="6"/>
      <c r="Y492" s="6"/>
      <c r="Z492" s="6"/>
      <c r="AA492" s="6"/>
      <c r="AB492" s="6"/>
      <c r="AC492" s="6"/>
      <c r="AD492" s="6"/>
    </row>
    <row r="493">
      <c r="A493" s="6"/>
      <c r="B493" s="6"/>
      <c r="C493" s="6"/>
      <c r="D493" s="6"/>
      <c r="E493" s="6"/>
      <c r="F493" s="6"/>
      <c r="G493" s="6"/>
      <c r="H493" s="25"/>
      <c r="I493" s="25"/>
      <c r="J493" s="6"/>
      <c r="K493" s="6"/>
      <c r="L493" s="6"/>
      <c r="M493" s="6"/>
      <c r="N493" s="6"/>
      <c r="O493" s="6"/>
      <c r="P493" s="6"/>
      <c r="Q493" s="6"/>
      <c r="R493" s="6"/>
      <c r="S493" s="26"/>
      <c r="T493" s="26"/>
      <c r="U493" s="27"/>
      <c r="V493" s="6"/>
      <c r="W493" s="6"/>
      <c r="X493" s="6"/>
      <c r="Y493" s="6"/>
      <c r="Z493" s="6"/>
      <c r="AA493" s="6"/>
      <c r="AB493" s="6"/>
      <c r="AC493" s="6"/>
      <c r="AD493" s="6"/>
    </row>
    <row r="494">
      <c r="A494" s="6"/>
      <c r="B494" s="6"/>
      <c r="C494" s="6"/>
      <c r="D494" s="6"/>
      <c r="E494" s="6"/>
      <c r="F494" s="6"/>
      <c r="G494" s="6"/>
      <c r="H494" s="25"/>
      <c r="I494" s="25"/>
      <c r="J494" s="6"/>
      <c r="K494" s="6"/>
      <c r="L494" s="6"/>
      <c r="M494" s="6"/>
      <c r="N494" s="6"/>
      <c r="O494" s="6"/>
      <c r="P494" s="6"/>
      <c r="Q494" s="6"/>
      <c r="R494" s="6"/>
      <c r="S494" s="26"/>
      <c r="T494" s="26"/>
      <c r="U494" s="27"/>
      <c r="V494" s="6"/>
      <c r="W494" s="6"/>
      <c r="X494" s="6"/>
      <c r="Y494" s="6"/>
      <c r="Z494" s="6"/>
      <c r="AA494" s="6"/>
      <c r="AB494" s="6"/>
      <c r="AC494" s="6"/>
      <c r="AD494" s="6"/>
    </row>
    <row r="495">
      <c r="A495" s="6"/>
      <c r="B495" s="6"/>
      <c r="C495" s="6"/>
      <c r="D495" s="6"/>
      <c r="E495" s="6"/>
      <c r="F495" s="6"/>
      <c r="G495" s="6"/>
      <c r="H495" s="25"/>
      <c r="I495" s="25"/>
      <c r="J495" s="6"/>
      <c r="K495" s="6"/>
      <c r="L495" s="6"/>
      <c r="M495" s="6"/>
      <c r="N495" s="6"/>
      <c r="O495" s="6"/>
      <c r="P495" s="6"/>
      <c r="Q495" s="6"/>
      <c r="R495" s="6"/>
      <c r="S495" s="26"/>
      <c r="T495" s="26"/>
      <c r="U495" s="27"/>
      <c r="V495" s="6"/>
      <c r="W495" s="6"/>
      <c r="X495" s="6"/>
      <c r="Y495" s="6"/>
      <c r="Z495" s="6"/>
      <c r="AA495" s="6"/>
      <c r="AB495" s="6"/>
      <c r="AC495" s="6"/>
      <c r="AD495" s="6"/>
    </row>
    <row r="496">
      <c r="A496" s="6"/>
      <c r="B496" s="6"/>
      <c r="C496" s="6"/>
      <c r="D496" s="6"/>
      <c r="E496" s="6"/>
      <c r="F496" s="6"/>
      <c r="G496" s="6"/>
      <c r="H496" s="25"/>
      <c r="I496" s="25"/>
      <c r="J496" s="6"/>
      <c r="K496" s="6"/>
      <c r="L496" s="6"/>
      <c r="M496" s="6"/>
      <c r="N496" s="6"/>
      <c r="O496" s="6"/>
      <c r="P496" s="6"/>
      <c r="Q496" s="6"/>
      <c r="R496" s="6"/>
      <c r="S496" s="26"/>
      <c r="T496" s="26"/>
      <c r="U496" s="27"/>
      <c r="V496" s="6"/>
      <c r="W496" s="6"/>
      <c r="X496" s="6"/>
      <c r="Y496" s="6"/>
      <c r="Z496" s="6"/>
      <c r="AA496" s="6"/>
      <c r="AB496" s="6"/>
      <c r="AC496" s="6"/>
      <c r="AD496" s="6"/>
    </row>
    <row r="497">
      <c r="A497" s="6"/>
      <c r="B497" s="6"/>
      <c r="C497" s="6"/>
      <c r="D497" s="6"/>
      <c r="E497" s="6"/>
      <c r="F497" s="6"/>
      <c r="G497" s="6"/>
      <c r="H497" s="25"/>
      <c r="I497" s="25"/>
      <c r="J497" s="6"/>
      <c r="K497" s="6"/>
      <c r="L497" s="6"/>
      <c r="M497" s="6"/>
      <c r="N497" s="6"/>
      <c r="O497" s="6"/>
      <c r="P497" s="6"/>
      <c r="Q497" s="6"/>
      <c r="R497" s="6"/>
      <c r="S497" s="26"/>
      <c r="T497" s="26"/>
      <c r="U497" s="27"/>
      <c r="V497" s="6"/>
      <c r="W497" s="6"/>
      <c r="X497" s="6"/>
      <c r="Y497" s="6"/>
      <c r="Z497" s="6"/>
      <c r="AA497" s="6"/>
      <c r="AB497" s="6"/>
      <c r="AC497" s="6"/>
      <c r="AD497" s="6"/>
    </row>
    <row r="498">
      <c r="A498" s="6"/>
      <c r="B498" s="6"/>
      <c r="C498" s="6"/>
      <c r="D498" s="6"/>
      <c r="E498" s="6"/>
      <c r="F498" s="6"/>
      <c r="G498" s="6"/>
      <c r="H498" s="25"/>
      <c r="I498" s="25"/>
      <c r="J498" s="6"/>
      <c r="K498" s="6"/>
      <c r="L498" s="6"/>
      <c r="M498" s="6"/>
      <c r="N498" s="6"/>
      <c r="O498" s="6"/>
      <c r="P498" s="6"/>
      <c r="Q498" s="6"/>
      <c r="R498" s="6"/>
      <c r="S498" s="26"/>
      <c r="T498" s="26"/>
      <c r="U498" s="27"/>
      <c r="V498" s="6"/>
      <c r="W498" s="6"/>
      <c r="X498" s="6"/>
      <c r="Y498" s="6"/>
      <c r="Z498" s="6"/>
      <c r="AA498" s="6"/>
      <c r="AB498" s="6"/>
      <c r="AC498" s="6"/>
      <c r="AD498" s="6"/>
    </row>
    <row r="499">
      <c r="A499" s="6"/>
      <c r="B499" s="6"/>
      <c r="C499" s="6"/>
      <c r="D499" s="6"/>
      <c r="E499" s="6"/>
      <c r="F499" s="6"/>
      <c r="G499" s="6"/>
      <c r="H499" s="25"/>
      <c r="I499" s="25"/>
      <c r="J499" s="6"/>
      <c r="K499" s="6"/>
      <c r="L499" s="6"/>
      <c r="M499" s="6"/>
      <c r="N499" s="6"/>
      <c r="O499" s="6"/>
      <c r="P499" s="6"/>
      <c r="Q499" s="6"/>
      <c r="R499" s="6"/>
      <c r="S499" s="26"/>
      <c r="T499" s="26"/>
      <c r="U499" s="27"/>
      <c r="V499" s="6"/>
      <c r="W499" s="6"/>
      <c r="X499" s="6"/>
      <c r="Y499" s="6"/>
      <c r="Z499" s="6"/>
      <c r="AA499" s="6"/>
      <c r="AB499" s="6"/>
      <c r="AC499" s="6"/>
      <c r="AD499" s="6"/>
    </row>
    <row r="500">
      <c r="A500" s="6"/>
      <c r="B500" s="6"/>
      <c r="C500" s="6"/>
      <c r="D500" s="6"/>
      <c r="E500" s="6"/>
      <c r="F500" s="6"/>
      <c r="G500" s="6"/>
      <c r="H500" s="25"/>
      <c r="I500" s="25"/>
      <c r="J500" s="6"/>
      <c r="K500" s="6"/>
      <c r="L500" s="6"/>
      <c r="M500" s="6"/>
      <c r="N500" s="6"/>
      <c r="O500" s="6"/>
      <c r="P500" s="6"/>
      <c r="Q500" s="6"/>
      <c r="R500" s="6"/>
      <c r="S500" s="26"/>
      <c r="T500" s="26"/>
      <c r="U500" s="27"/>
      <c r="V500" s="6"/>
      <c r="W500" s="6"/>
      <c r="X500" s="6"/>
      <c r="Y500" s="6"/>
      <c r="Z500" s="6"/>
      <c r="AA500" s="6"/>
      <c r="AB500" s="6"/>
      <c r="AC500" s="6"/>
      <c r="AD500" s="6"/>
    </row>
    <row r="501">
      <c r="A501" s="6"/>
      <c r="B501" s="6"/>
      <c r="C501" s="6"/>
      <c r="D501" s="6"/>
      <c r="E501" s="6"/>
      <c r="F501" s="6"/>
      <c r="G501" s="6"/>
      <c r="H501" s="25"/>
      <c r="I501" s="25"/>
      <c r="J501" s="6"/>
      <c r="K501" s="6"/>
      <c r="L501" s="6"/>
      <c r="M501" s="6"/>
      <c r="N501" s="6"/>
      <c r="O501" s="6"/>
      <c r="P501" s="6"/>
      <c r="Q501" s="6"/>
      <c r="R501" s="6"/>
      <c r="S501" s="26"/>
      <c r="T501" s="26"/>
      <c r="U501" s="27"/>
      <c r="V501" s="6"/>
      <c r="W501" s="6"/>
      <c r="X501" s="6"/>
      <c r="Y501" s="6"/>
      <c r="Z501" s="6"/>
      <c r="AA501" s="6"/>
      <c r="AB501" s="6"/>
      <c r="AC501" s="6"/>
      <c r="AD501" s="6"/>
    </row>
    <row r="502">
      <c r="A502" s="6"/>
      <c r="B502" s="6"/>
      <c r="C502" s="6"/>
      <c r="D502" s="6"/>
      <c r="E502" s="6"/>
      <c r="F502" s="6"/>
      <c r="G502" s="6"/>
      <c r="H502" s="25"/>
      <c r="I502" s="25"/>
      <c r="J502" s="6"/>
      <c r="K502" s="6"/>
      <c r="L502" s="6"/>
      <c r="M502" s="6"/>
      <c r="N502" s="6"/>
      <c r="O502" s="6"/>
      <c r="P502" s="6"/>
      <c r="Q502" s="6"/>
      <c r="R502" s="6"/>
      <c r="S502" s="26"/>
      <c r="T502" s="26"/>
      <c r="U502" s="27"/>
      <c r="V502" s="6"/>
      <c r="W502" s="6"/>
      <c r="X502" s="6"/>
      <c r="Y502" s="6"/>
      <c r="Z502" s="6"/>
      <c r="AA502" s="6"/>
      <c r="AB502" s="6"/>
      <c r="AC502" s="6"/>
      <c r="AD502" s="6"/>
    </row>
    <row r="503">
      <c r="A503" s="6"/>
      <c r="B503" s="6"/>
      <c r="C503" s="6"/>
      <c r="D503" s="6"/>
      <c r="E503" s="6"/>
      <c r="F503" s="6"/>
      <c r="G503" s="6"/>
      <c r="H503" s="25"/>
      <c r="I503" s="25"/>
      <c r="J503" s="6"/>
      <c r="K503" s="6"/>
      <c r="L503" s="6"/>
      <c r="M503" s="6"/>
      <c r="N503" s="6"/>
      <c r="O503" s="6"/>
      <c r="P503" s="6"/>
      <c r="Q503" s="6"/>
      <c r="R503" s="6"/>
      <c r="S503" s="26"/>
      <c r="T503" s="26"/>
      <c r="U503" s="27"/>
      <c r="V503" s="6"/>
      <c r="W503" s="6"/>
      <c r="X503" s="6"/>
      <c r="Y503" s="6"/>
      <c r="Z503" s="6"/>
      <c r="AA503" s="6"/>
      <c r="AB503" s="6"/>
      <c r="AC503" s="6"/>
      <c r="AD503" s="6"/>
    </row>
    <row r="504">
      <c r="A504" s="6"/>
      <c r="B504" s="6"/>
      <c r="C504" s="6"/>
      <c r="D504" s="6"/>
      <c r="E504" s="6"/>
      <c r="F504" s="6"/>
      <c r="G504" s="6"/>
      <c r="H504" s="25"/>
      <c r="I504" s="25"/>
      <c r="J504" s="6"/>
      <c r="K504" s="6"/>
      <c r="L504" s="6"/>
      <c r="M504" s="6"/>
      <c r="N504" s="6"/>
      <c r="O504" s="6"/>
      <c r="P504" s="6"/>
      <c r="Q504" s="6"/>
      <c r="R504" s="6"/>
      <c r="S504" s="26"/>
      <c r="T504" s="26"/>
      <c r="U504" s="27"/>
      <c r="V504" s="6"/>
      <c r="W504" s="6"/>
      <c r="X504" s="6"/>
      <c r="Y504" s="6"/>
      <c r="Z504" s="6"/>
      <c r="AA504" s="6"/>
      <c r="AB504" s="6"/>
      <c r="AC504" s="6"/>
      <c r="AD504" s="6"/>
    </row>
    <row r="505">
      <c r="A505" s="6"/>
      <c r="B505" s="6"/>
      <c r="C505" s="6"/>
      <c r="D505" s="6"/>
      <c r="E505" s="6"/>
      <c r="F505" s="6"/>
      <c r="G505" s="6"/>
      <c r="H505" s="25"/>
      <c r="I505" s="25"/>
      <c r="J505" s="6"/>
      <c r="K505" s="6"/>
      <c r="L505" s="6"/>
      <c r="M505" s="6"/>
      <c r="N505" s="6"/>
      <c r="O505" s="6"/>
      <c r="P505" s="6"/>
      <c r="Q505" s="6"/>
      <c r="R505" s="6"/>
      <c r="S505" s="26"/>
      <c r="T505" s="26"/>
      <c r="U505" s="27"/>
      <c r="V505" s="6"/>
      <c r="W505" s="6"/>
      <c r="X505" s="6"/>
      <c r="Y505" s="6"/>
      <c r="Z505" s="6"/>
      <c r="AA505" s="6"/>
      <c r="AB505" s="6"/>
      <c r="AC505" s="6"/>
      <c r="AD505" s="6"/>
    </row>
    <row r="506">
      <c r="A506" s="6"/>
      <c r="B506" s="6"/>
      <c r="C506" s="6"/>
      <c r="D506" s="6"/>
      <c r="E506" s="6"/>
      <c r="F506" s="6"/>
      <c r="G506" s="6"/>
      <c r="H506" s="25"/>
      <c r="I506" s="25"/>
      <c r="J506" s="6"/>
      <c r="K506" s="6"/>
      <c r="L506" s="6"/>
      <c r="M506" s="6"/>
      <c r="N506" s="6"/>
      <c r="O506" s="6"/>
      <c r="P506" s="6"/>
      <c r="Q506" s="6"/>
      <c r="R506" s="6"/>
      <c r="S506" s="26"/>
      <c r="T506" s="26"/>
      <c r="U506" s="27"/>
      <c r="V506" s="6"/>
      <c r="W506" s="6"/>
      <c r="X506" s="6"/>
      <c r="Y506" s="6"/>
      <c r="Z506" s="6"/>
      <c r="AA506" s="6"/>
      <c r="AB506" s="6"/>
      <c r="AC506" s="6"/>
      <c r="AD506" s="6"/>
    </row>
    <row r="507">
      <c r="A507" s="6"/>
      <c r="B507" s="6"/>
      <c r="C507" s="6"/>
      <c r="D507" s="6"/>
      <c r="E507" s="6"/>
      <c r="F507" s="6"/>
      <c r="G507" s="6"/>
      <c r="H507" s="25"/>
      <c r="I507" s="25"/>
      <c r="J507" s="6"/>
      <c r="K507" s="6"/>
      <c r="L507" s="6"/>
      <c r="M507" s="6"/>
      <c r="N507" s="6"/>
      <c r="O507" s="6"/>
      <c r="P507" s="6"/>
      <c r="Q507" s="6"/>
      <c r="R507" s="6"/>
      <c r="S507" s="26"/>
      <c r="T507" s="26"/>
      <c r="U507" s="27"/>
      <c r="V507" s="6"/>
      <c r="W507" s="6"/>
      <c r="X507" s="6"/>
      <c r="Y507" s="6"/>
      <c r="Z507" s="6"/>
      <c r="AA507" s="6"/>
      <c r="AB507" s="6"/>
      <c r="AC507" s="6"/>
      <c r="AD507" s="6"/>
    </row>
    <row r="508">
      <c r="A508" s="6"/>
      <c r="B508" s="6"/>
      <c r="C508" s="6"/>
      <c r="D508" s="6"/>
      <c r="E508" s="6"/>
      <c r="F508" s="6"/>
      <c r="G508" s="6"/>
      <c r="H508" s="25"/>
      <c r="I508" s="25"/>
      <c r="J508" s="6"/>
      <c r="K508" s="6"/>
      <c r="L508" s="6"/>
      <c r="M508" s="6"/>
      <c r="N508" s="6"/>
      <c r="O508" s="6"/>
      <c r="P508" s="6"/>
      <c r="Q508" s="6"/>
      <c r="R508" s="6"/>
      <c r="S508" s="26"/>
      <c r="T508" s="26"/>
      <c r="U508" s="27"/>
      <c r="V508" s="6"/>
      <c r="W508" s="6"/>
      <c r="X508" s="6"/>
      <c r="Y508" s="6"/>
      <c r="Z508" s="6"/>
      <c r="AA508" s="6"/>
      <c r="AB508" s="6"/>
      <c r="AC508" s="6"/>
      <c r="AD508" s="6"/>
    </row>
    <row r="509">
      <c r="A509" s="6"/>
      <c r="B509" s="6"/>
      <c r="C509" s="6"/>
      <c r="D509" s="6"/>
      <c r="E509" s="6"/>
      <c r="F509" s="6"/>
      <c r="G509" s="6"/>
      <c r="H509" s="25"/>
      <c r="I509" s="25"/>
      <c r="J509" s="6"/>
      <c r="K509" s="6"/>
      <c r="L509" s="6"/>
      <c r="M509" s="6"/>
      <c r="N509" s="6"/>
      <c r="O509" s="6"/>
      <c r="P509" s="6"/>
      <c r="Q509" s="6"/>
      <c r="R509" s="6"/>
      <c r="S509" s="26"/>
      <c r="T509" s="26"/>
      <c r="U509" s="27"/>
      <c r="V509" s="6"/>
      <c r="W509" s="6"/>
      <c r="X509" s="6"/>
      <c r="Y509" s="6"/>
      <c r="Z509" s="6"/>
      <c r="AA509" s="6"/>
      <c r="AB509" s="6"/>
      <c r="AC509" s="6"/>
      <c r="AD509" s="6"/>
    </row>
    <row r="510">
      <c r="A510" s="6"/>
      <c r="B510" s="6"/>
      <c r="C510" s="6"/>
      <c r="D510" s="6"/>
      <c r="E510" s="6"/>
      <c r="F510" s="6"/>
      <c r="G510" s="6"/>
      <c r="H510" s="25"/>
      <c r="I510" s="25"/>
      <c r="J510" s="6"/>
      <c r="K510" s="6"/>
      <c r="L510" s="6"/>
      <c r="M510" s="6"/>
      <c r="N510" s="6"/>
      <c r="O510" s="6"/>
      <c r="P510" s="6"/>
      <c r="Q510" s="6"/>
      <c r="R510" s="6"/>
      <c r="S510" s="26"/>
      <c r="T510" s="26"/>
      <c r="U510" s="27"/>
      <c r="V510" s="6"/>
      <c r="W510" s="6"/>
      <c r="X510" s="6"/>
      <c r="Y510" s="6"/>
      <c r="Z510" s="6"/>
      <c r="AA510" s="6"/>
      <c r="AB510" s="6"/>
      <c r="AC510" s="6"/>
      <c r="AD510" s="6"/>
    </row>
    <row r="511">
      <c r="A511" s="6"/>
      <c r="B511" s="6"/>
      <c r="C511" s="6"/>
      <c r="D511" s="6"/>
      <c r="E511" s="6"/>
      <c r="F511" s="6"/>
      <c r="G511" s="6"/>
      <c r="H511" s="25"/>
      <c r="I511" s="25"/>
      <c r="J511" s="6"/>
      <c r="K511" s="6"/>
      <c r="L511" s="6"/>
      <c r="M511" s="6"/>
      <c r="N511" s="6"/>
      <c r="O511" s="6"/>
      <c r="P511" s="6"/>
      <c r="Q511" s="6"/>
      <c r="R511" s="6"/>
      <c r="S511" s="26"/>
      <c r="T511" s="26"/>
      <c r="U511" s="27"/>
      <c r="V511" s="6"/>
      <c r="W511" s="6"/>
      <c r="X511" s="6"/>
      <c r="Y511" s="6"/>
      <c r="Z511" s="6"/>
      <c r="AA511" s="6"/>
      <c r="AB511" s="6"/>
      <c r="AC511" s="6"/>
      <c r="AD511" s="6"/>
    </row>
    <row r="512">
      <c r="A512" s="6"/>
      <c r="B512" s="6"/>
      <c r="C512" s="6"/>
      <c r="D512" s="6"/>
      <c r="E512" s="6"/>
      <c r="F512" s="6"/>
      <c r="G512" s="6"/>
      <c r="H512" s="25"/>
      <c r="I512" s="25"/>
      <c r="J512" s="6"/>
      <c r="K512" s="6"/>
      <c r="L512" s="6"/>
      <c r="M512" s="6"/>
      <c r="N512" s="6"/>
      <c r="O512" s="6"/>
      <c r="P512" s="6"/>
      <c r="Q512" s="6"/>
      <c r="R512" s="6"/>
      <c r="S512" s="26"/>
      <c r="T512" s="26"/>
      <c r="U512" s="27"/>
      <c r="V512" s="6"/>
      <c r="W512" s="6"/>
      <c r="X512" s="6"/>
      <c r="Y512" s="6"/>
      <c r="Z512" s="6"/>
      <c r="AA512" s="6"/>
      <c r="AB512" s="6"/>
      <c r="AC512" s="6"/>
      <c r="AD512" s="6"/>
    </row>
    <row r="513">
      <c r="A513" s="6"/>
      <c r="B513" s="6"/>
      <c r="C513" s="6"/>
      <c r="D513" s="6"/>
      <c r="E513" s="6"/>
      <c r="F513" s="6"/>
      <c r="G513" s="6"/>
      <c r="H513" s="25"/>
      <c r="I513" s="25"/>
      <c r="J513" s="6"/>
      <c r="K513" s="6"/>
      <c r="L513" s="6"/>
      <c r="M513" s="6"/>
      <c r="N513" s="6"/>
      <c r="O513" s="6"/>
      <c r="P513" s="6"/>
      <c r="Q513" s="6"/>
      <c r="R513" s="6"/>
      <c r="S513" s="26"/>
      <c r="T513" s="26"/>
      <c r="U513" s="27"/>
      <c r="V513" s="6"/>
      <c r="W513" s="6"/>
      <c r="X513" s="6"/>
      <c r="Y513" s="6"/>
      <c r="Z513" s="6"/>
      <c r="AA513" s="6"/>
      <c r="AB513" s="6"/>
      <c r="AC513" s="6"/>
      <c r="AD513" s="6"/>
    </row>
    <row r="514">
      <c r="A514" s="6"/>
      <c r="B514" s="6"/>
      <c r="C514" s="6"/>
      <c r="D514" s="6"/>
      <c r="E514" s="6"/>
      <c r="F514" s="6"/>
      <c r="G514" s="6"/>
      <c r="H514" s="25"/>
      <c r="I514" s="25"/>
      <c r="J514" s="6"/>
      <c r="K514" s="6"/>
      <c r="L514" s="6"/>
      <c r="M514" s="6"/>
      <c r="N514" s="6"/>
      <c r="O514" s="6"/>
      <c r="P514" s="6"/>
      <c r="Q514" s="6"/>
      <c r="R514" s="6"/>
      <c r="S514" s="26"/>
      <c r="T514" s="26"/>
      <c r="U514" s="27"/>
      <c r="V514" s="6"/>
      <c r="W514" s="6"/>
      <c r="X514" s="6"/>
      <c r="Y514" s="6"/>
      <c r="Z514" s="6"/>
      <c r="AA514" s="6"/>
      <c r="AB514" s="6"/>
      <c r="AC514" s="6"/>
      <c r="AD514" s="6"/>
    </row>
    <row r="515">
      <c r="A515" s="6"/>
      <c r="B515" s="6"/>
      <c r="C515" s="6"/>
      <c r="D515" s="6"/>
      <c r="E515" s="6"/>
      <c r="F515" s="6"/>
      <c r="G515" s="6"/>
      <c r="H515" s="25"/>
      <c r="I515" s="25"/>
      <c r="J515" s="6"/>
      <c r="K515" s="6"/>
      <c r="L515" s="6"/>
      <c r="M515" s="6"/>
      <c r="N515" s="6"/>
      <c r="O515" s="6"/>
      <c r="P515" s="6"/>
      <c r="Q515" s="6"/>
      <c r="R515" s="6"/>
      <c r="S515" s="26"/>
      <c r="T515" s="26"/>
      <c r="U515" s="27"/>
      <c r="V515" s="6"/>
      <c r="W515" s="6"/>
      <c r="X515" s="6"/>
      <c r="Y515" s="6"/>
      <c r="Z515" s="6"/>
      <c r="AA515" s="6"/>
      <c r="AB515" s="6"/>
      <c r="AC515" s="6"/>
      <c r="AD515" s="6"/>
    </row>
    <row r="516">
      <c r="A516" s="6"/>
      <c r="B516" s="6"/>
      <c r="C516" s="6"/>
      <c r="D516" s="6"/>
      <c r="E516" s="6"/>
      <c r="F516" s="6"/>
      <c r="G516" s="6"/>
      <c r="H516" s="25"/>
      <c r="I516" s="25"/>
      <c r="J516" s="6"/>
      <c r="K516" s="6"/>
      <c r="L516" s="6"/>
      <c r="M516" s="6"/>
      <c r="N516" s="6"/>
      <c r="O516" s="6"/>
      <c r="P516" s="6"/>
      <c r="Q516" s="6"/>
      <c r="R516" s="6"/>
      <c r="S516" s="26"/>
      <c r="T516" s="26"/>
      <c r="U516" s="27"/>
      <c r="V516" s="6"/>
      <c r="W516" s="6"/>
      <c r="X516" s="6"/>
      <c r="Y516" s="6"/>
      <c r="Z516" s="6"/>
      <c r="AA516" s="6"/>
      <c r="AB516" s="6"/>
      <c r="AC516" s="6"/>
      <c r="AD516" s="6"/>
    </row>
    <row r="517">
      <c r="A517" s="6"/>
      <c r="B517" s="6"/>
      <c r="C517" s="6"/>
      <c r="D517" s="6"/>
      <c r="E517" s="6"/>
      <c r="F517" s="6"/>
      <c r="G517" s="6"/>
      <c r="H517" s="25"/>
      <c r="I517" s="25"/>
      <c r="J517" s="6"/>
      <c r="K517" s="6"/>
      <c r="L517" s="6"/>
      <c r="M517" s="6"/>
      <c r="N517" s="6"/>
      <c r="O517" s="6"/>
      <c r="P517" s="6"/>
      <c r="Q517" s="6"/>
      <c r="R517" s="6"/>
      <c r="S517" s="26"/>
      <c r="T517" s="26"/>
      <c r="U517" s="27"/>
      <c r="V517" s="6"/>
      <c r="W517" s="6"/>
      <c r="X517" s="6"/>
      <c r="Y517" s="6"/>
      <c r="Z517" s="6"/>
      <c r="AA517" s="6"/>
      <c r="AB517" s="6"/>
      <c r="AC517" s="6"/>
      <c r="AD517" s="6"/>
    </row>
    <row r="518">
      <c r="A518" s="6"/>
      <c r="B518" s="6"/>
      <c r="C518" s="6"/>
      <c r="D518" s="6"/>
      <c r="E518" s="6"/>
      <c r="F518" s="6"/>
      <c r="G518" s="6"/>
      <c r="H518" s="25"/>
      <c r="I518" s="25"/>
      <c r="J518" s="6"/>
      <c r="K518" s="6"/>
      <c r="L518" s="6"/>
      <c r="M518" s="6"/>
      <c r="N518" s="6"/>
      <c r="O518" s="6"/>
      <c r="P518" s="6"/>
      <c r="Q518" s="6"/>
      <c r="R518" s="6"/>
      <c r="S518" s="26"/>
      <c r="T518" s="26"/>
      <c r="U518" s="27"/>
      <c r="V518" s="6"/>
      <c r="W518" s="6"/>
      <c r="X518" s="6"/>
      <c r="Y518" s="6"/>
      <c r="Z518" s="6"/>
      <c r="AA518" s="6"/>
      <c r="AB518" s="6"/>
      <c r="AC518" s="6"/>
      <c r="AD518" s="6"/>
    </row>
    <row r="519">
      <c r="A519" s="6"/>
      <c r="B519" s="6"/>
      <c r="C519" s="6"/>
      <c r="D519" s="6"/>
      <c r="E519" s="6"/>
      <c r="F519" s="6"/>
      <c r="G519" s="6"/>
      <c r="H519" s="25"/>
      <c r="I519" s="25"/>
      <c r="J519" s="6"/>
      <c r="K519" s="6"/>
      <c r="L519" s="6"/>
      <c r="M519" s="6"/>
      <c r="N519" s="6"/>
      <c r="O519" s="6"/>
      <c r="P519" s="6"/>
      <c r="Q519" s="6"/>
      <c r="R519" s="6"/>
      <c r="S519" s="26"/>
      <c r="T519" s="26"/>
      <c r="U519" s="27"/>
      <c r="V519" s="6"/>
      <c r="W519" s="6"/>
      <c r="X519" s="6"/>
      <c r="Y519" s="6"/>
      <c r="Z519" s="6"/>
      <c r="AA519" s="6"/>
      <c r="AB519" s="6"/>
      <c r="AC519" s="6"/>
      <c r="AD519" s="6"/>
    </row>
    <row r="520">
      <c r="A520" s="6"/>
      <c r="B520" s="6"/>
      <c r="C520" s="6"/>
      <c r="D520" s="6"/>
      <c r="E520" s="6"/>
      <c r="F520" s="6"/>
      <c r="G520" s="6"/>
      <c r="H520" s="25"/>
      <c r="I520" s="25"/>
      <c r="J520" s="6"/>
      <c r="K520" s="6"/>
      <c r="L520" s="6"/>
      <c r="M520" s="6"/>
      <c r="N520" s="6"/>
      <c r="O520" s="6"/>
      <c r="P520" s="6"/>
      <c r="Q520" s="6"/>
      <c r="R520" s="6"/>
      <c r="S520" s="26"/>
      <c r="T520" s="26"/>
      <c r="U520" s="27"/>
      <c r="V520" s="6"/>
      <c r="W520" s="6"/>
      <c r="X520" s="6"/>
      <c r="Y520" s="6"/>
      <c r="Z520" s="6"/>
      <c r="AA520" s="6"/>
      <c r="AB520" s="6"/>
      <c r="AC520" s="6"/>
      <c r="AD520" s="6"/>
    </row>
    <row r="521">
      <c r="A521" s="6"/>
      <c r="B521" s="6"/>
      <c r="C521" s="6"/>
      <c r="D521" s="6"/>
      <c r="E521" s="6"/>
      <c r="F521" s="6"/>
      <c r="G521" s="6"/>
      <c r="H521" s="25"/>
      <c r="I521" s="25"/>
      <c r="J521" s="6"/>
      <c r="K521" s="6"/>
      <c r="L521" s="6"/>
      <c r="M521" s="6"/>
      <c r="N521" s="6"/>
      <c r="O521" s="6"/>
      <c r="P521" s="6"/>
      <c r="Q521" s="6"/>
      <c r="R521" s="6"/>
      <c r="S521" s="26"/>
      <c r="T521" s="26"/>
      <c r="U521" s="27"/>
      <c r="V521" s="6"/>
      <c r="W521" s="6"/>
      <c r="X521" s="6"/>
      <c r="Y521" s="6"/>
      <c r="Z521" s="6"/>
      <c r="AA521" s="6"/>
      <c r="AB521" s="6"/>
      <c r="AC521" s="6"/>
      <c r="AD521" s="6"/>
    </row>
    <row r="522">
      <c r="A522" s="6"/>
      <c r="B522" s="6"/>
      <c r="C522" s="6"/>
      <c r="D522" s="6"/>
      <c r="E522" s="6"/>
      <c r="F522" s="6"/>
      <c r="G522" s="6"/>
      <c r="H522" s="25"/>
      <c r="I522" s="25"/>
      <c r="J522" s="6"/>
      <c r="K522" s="6"/>
      <c r="L522" s="6"/>
      <c r="M522" s="6"/>
      <c r="N522" s="6"/>
      <c r="O522" s="6"/>
      <c r="P522" s="6"/>
      <c r="Q522" s="6"/>
      <c r="R522" s="6"/>
      <c r="S522" s="26"/>
      <c r="T522" s="26"/>
      <c r="U522" s="27"/>
      <c r="V522" s="6"/>
      <c r="W522" s="6"/>
      <c r="X522" s="6"/>
      <c r="Y522" s="6"/>
      <c r="Z522" s="6"/>
      <c r="AA522" s="6"/>
      <c r="AB522" s="6"/>
      <c r="AC522" s="6"/>
      <c r="AD522" s="6"/>
    </row>
    <row r="523">
      <c r="A523" s="6"/>
      <c r="B523" s="6"/>
      <c r="C523" s="6"/>
      <c r="D523" s="6"/>
      <c r="E523" s="6"/>
      <c r="F523" s="6"/>
      <c r="G523" s="6"/>
      <c r="H523" s="25"/>
      <c r="I523" s="25"/>
      <c r="J523" s="6"/>
      <c r="K523" s="6"/>
      <c r="L523" s="6"/>
      <c r="M523" s="6"/>
      <c r="N523" s="6"/>
      <c r="O523" s="6"/>
      <c r="P523" s="6"/>
      <c r="Q523" s="6"/>
      <c r="R523" s="6"/>
      <c r="S523" s="26"/>
      <c r="T523" s="26"/>
      <c r="U523" s="27"/>
      <c r="V523" s="6"/>
      <c r="W523" s="6"/>
      <c r="X523" s="6"/>
      <c r="Y523" s="6"/>
      <c r="Z523" s="6"/>
      <c r="AA523" s="6"/>
      <c r="AB523" s="6"/>
      <c r="AC523" s="6"/>
      <c r="AD523" s="6"/>
    </row>
    <row r="524">
      <c r="A524" s="6"/>
      <c r="B524" s="6"/>
      <c r="C524" s="6"/>
      <c r="D524" s="6"/>
      <c r="E524" s="6"/>
      <c r="F524" s="6"/>
      <c r="G524" s="6"/>
      <c r="H524" s="25"/>
      <c r="I524" s="25"/>
      <c r="J524" s="6"/>
      <c r="K524" s="6"/>
      <c r="L524" s="6"/>
      <c r="M524" s="6"/>
      <c r="N524" s="6"/>
      <c r="O524" s="6"/>
      <c r="P524" s="6"/>
      <c r="Q524" s="6"/>
      <c r="R524" s="6"/>
      <c r="S524" s="26"/>
      <c r="T524" s="26"/>
      <c r="U524" s="27"/>
      <c r="V524" s="6"/>
      <c r="W524" s="6"/>
      <c r="X524" s="6"/>
      <c r="Y524" s="6"/>
      <c r="Z524" s="6"/>
      <c r="AA524" s="6"/>
      <c r="AB524" s="6"/>
      <c r="AC524" s="6"/>
      <c r="AD524" s="6"/>
    </row>
    <row r="525">
      <c r="A525" s="6"/>
      <c r="B525" s="6"/>
      <c r="C525" s="6"/>
      <c r="D525" s="6"/>
      <c r="E525" s="6"/>
      <c r="F525" s="6"/>
      <c r="G525" s="6"/>
      <c r="H525" s="25"/>
      <c r="I525" s="25"/>
      <c r="J525" s="6"/>
      <c r="K525" s="6"/>
      <c r="L525" s="6"/>
      <c r="M525" s="6"/>
      <c r="N525" s="6"/>
      <c r="O525" s="6"/>
      <c r="P525" s="6"/>
      <c r="Q525" s="6"/>
      <c r="R525" s="6"/>
      <c r="S525" s="26"/>
      <c r="T525" s="26"/>
      <c r="U525" s="27"/>
      <c r="V525" s="6"/>
      <c r="W525" s="6"/>
      <c r="X525" s="6"/>
      <c r="Y525" s="6"/>
      <c r="Z525" s="6"/>
      <c r="AA525" s="6"/>
      <c r="AB525" s="6"/>
      <c r="AC525" s="6"/>
      <c r="AD525" s="6"/>
    </row>
    <row r="526">
      <c r="A526" s="6"/>
      <c r="B526" s="6"/>
      <c r="C526" s="6"/>
      <c r="D526" s="6"/>
      <c r="E526" s="6"/>
      <c r="F526" s="6"/>
      <c r="G526" s="6"/>
      <c r="H526" s="25"/>
      <c r="I526" s="25"/>
      <c r="J526" s="6"/>
      <c r="K526" s="6"/>
      <c r="L526" s="6"/>
      <c r="M526" s="6"/>
      <c r="N526" s="6"/>
      <c r="O526" s="6"/>
      <c r="P526" s="6"/>
      <c r="Q526" s="6"/>
      <c r="R526" s="6"/>
      <c r="S526" s="26"/>
      <c r="T526" s="26"/>
      <c r="U526" s="27"/>
      <c r="V526" s="6"/>
      <c r="W526" s="6"/>
      <c r="X526" s="6"/>
      <c r="Y526" s="6"/>
      <c r="Z526" s="6"/>
      <c r="AA526" s="6"/>
      <c r="AB526" s="6"/>
      <c r="AC526" s="6"/>
      <c r="AD526" s="6"/>
    </row>
    <row r="527">
      <c r="A527" s="6"/>
      <c r="B527" s="6"/>
      <c r="C527" s="6"/>
      <c r="D527" s="6"/>
      <c r="E527" s="6"/>
      <c r="F527" s="6"/>
      <c r="G527" s="6"/>
      <c r="H527" s="25"/>
      <c r="I527" s="25"/>
      <c r="J527" s="6"/>
      <c r="K527" s="6"/>
      <c r="L527" s="6"/>
      <c r="M527" s="6"/>
      <c r="N527" s="6"/>
      <c r="O527" s="6"/>
      <c r="P527" s="6"/>
      <c r="Q527" s="6"/>
      <c r="R527" s="6"/>
      <c r="S527" s="26"/>
      <c r="T527" s="26"/>
      <c r="U527" s="27"/>
      <c r="V527" s="6"/>
      <c r="W527" s="6"/>
      <c r="X527" s="6"/>
      <c r="Y527" s="6"/>
      <c r="Z527" s="6"/>
      <c r="AA527" s="6"/>
      <c r="AB527" s="6"/>
      <c r="AC527" s="6"/>
      <c r="AD527" s="6"/>
    </row>
    <row r="528">
      <c r="A528" s="6"/>
      <c r="B528" s="6"/>
      <c r="C528" s="6"/>
      <c r="D528" s="6"/>
      <c r="E528" s="6"/>
      <c r="F528" s="6"/>
      <c r="G528" s="6"/>
      <c r="H528" s="25"/>
      <c r="I528" s="25"/>
      <c r="J528" s="6"/>
      <c r="K528" s="6"/>
      <c r="L528" s="6"/>
      <c r="M528" s="6"/>
      <c r="N528" s="6"/>
      <c r="O528" s="6"/>
      <c r="P528" s="6"/>
      <c r="Q528" s="6"/>
      <c r="R528" s="6"/>
      <c r="S528" s="26"/>
      <c r="T528" s="26"/>
      <c r="U528" s="27"/>
      <c r="V528" s="6"/>
      <c r="W528" s="6"/>
      <c r="X528" s="6"/>
      <c r="Y528" s="6"/>
      <c r="Z528" s="6"/>
      <c r="AA528" s="6"/>
      <c r="AB528" s="6"/>
      <c r="AC528" s="6"/>
      <c r="AD528" s="6"/>
    </row>
    <row r="529">
      <c r="A529" s="6"/>
      <c r="B529" s="6"/>
      <c r="C529" s="6"/>
      <c r="D529" s="6"/>
      <c r="E529" s="6"/>
      <c r="F529" s="6"/>
      <c r="G529" s="6"/>
      <c r="H529" s="25"/>
      <c r="I529" s="25"/>
      <c r="J529" s="6"/>
      <c r="K529" s="6"/>
      <c r="L529" s="6"/>
      <c r="M529" s="6"/>
      <c r="N529" s="6"/>
      <c r="O529" s="6"/>
      <c r="P529" s="6"/>
      <c r="Q529" s="6"/>
      <c r="R529" s="6"/>
      <c r="S529" s="26"/>
      <c r="T529" s="26"/>
      <c r="U529" s="27"/>
      <c r="V529" s="6"/>
      <c r="W529" s="6"/>
      <c r="X529" s="6"/>
      <c r="Y529" s="6"/>
      <c r="Z529" s="6"/>
      <c r="AA529" s="6"/>
      <c r="AB529" s="6"/>
      <c r="AC529" s="6"/>
      <c r="AD529" s="6"/>
    </row>
    <row r="530">
      <c r="A530" s="6"/>
      <c r="B530" s="6"/>
      <c r="C530" s="6"/>
      <c r="D530" s="6"/>
      <c r="E530" s="6"/>
      <c r="F530" s="6"/>
      <c r="G530" s="6"/>
      <c r="H530" s="25"/>
      <c r="I530" s="25"/>
      <c r="J530" s="6"/>
      <c r="K530" s="6"/>
      <c r="L530" s="6"/>
      <c r="M530" s="6"/>
      <c r="N530" s="6"/>
      <c r="O530" s="6"/>
      <c r="P530" s="6"/>
      <c r="Q530" s="6"/>
      <c r="R530" s="6"/>
      <c r="S530" s="26"/>
      <c r="T530" s="26"/>
      <c r="U530" s="27"/>
      <c r="V530" s="6"/>
      <c r="W530" s="6"/>
      <c r="X530" s="6"/>
      <c r="Y530" s="6"/>
      <c r="Z530" s="6"/>
      <c r="AA530" s="6"/>
      <c r="AB530" s="6"/>
      <c r="AC530" s="6"/>
      <c r="AD530" s="6"/>
    </row>
    <row r="531">
      <c r="A531" s="6"/>
      <c r="B531" s="6"/>
      <c r="C531" s="6"/>
      <c r="D531" s="6"/>
      <c r="E531" s="6"/>
      <c r="F531" s="6"/>
      <c r="G531" s="6"/>
      <c r="H531" s="25"/>
      <c r="I531" s="25"/>
      <c r="J531" s="6"/>
      <c r="K531" s="6"/>
      <c r="L531" s="6"/>
      <c r="M531" s="6"/>
      <c r="N531" s="6"/>
      <c r="O531" s="6"/>
      <c r="P531" s="6"/>
      <c r="Q531" s="6"/>
      <c r="R531" s="6"/>
      <c r="S531" s="26"/>
      <c r="T531" s="26"/>
      <c r="U531" s="27"/>
      <c r="V531" s="6"/>
      <c r="W531" s="6"/>
      <c r="X531" s="6"/>
      <c r="Y531" s="6"/>
      <c r="Z531" s="6"/>
      <c r="AA531" s="6"/>
      <c r="AB531" s="6"/>
      <c r="AC531" s="6"/>
      <c r="AD531" s="6"/>
    </row>
    <row r="532">
      <c r="A532" s="6"/>
      <c r="B532" s="6"/>
      <c r="C532" s="6"/>
      <c r="D532" s="6"/>
      <c r="E532" s="6"/>
      <c r="F532" s="6"/>
      <c r="G532" s="6"/>
      <c r="H532" s="25"/>
      <c r="I532" s="25"/>
      <c r="J532" s="6"/>
      <c r="K532" s="6"/>
      <c r="L532" s="6"/>
      <c r="M532" s="6"/>
      <c r="N532" s="6"/>
      <c r="O532" s="6"/>
      <c r="P532" s="6"/>
      <c r="Q532" s="6"/>
      <c r="R532" s="6"/>
      <c r="S532" s="26"/>
      <c r="T532" s="26"/>
      <c r="U532" s="27"/>
      <c r="V532" s="6"/>
      <c r="W532" s="6"/>
      <c r="X532" s="6"/>
      <c r="Y532" s="6"/>
      <c r="Z532" s="6"/>
      <c r="AA532" s="6"/>
      <c r="AB532" s="6"/>
      <c r="AC532" s="6"/>
      <c r="AD532" s="6"/>
    </row>
    <row r="533">
      <c r="A533" s="6"/>
      <c r="B533" s="6"/>
      <c r="C533" s="6"/>
      <c r="D533" s="6"/>
      <c r="E533" s="6"/>
      <c r="F533" s="6"/>
      <c r="G533" s="6"/>
      <c r="H533" s="25"/>
      <c r="I533" s="25"/>
      <c r="J533" s="6"/>
      <c r="K533" s="6"/>
      <c r="L533" s="6"/>
      <c r="M533" s="6"/>
      <c r="N533" s="6"/>
      <c r="O533" s="6"/>
      <c r="P533" s="6"/>
      <c r="Q533" s="6"/>
      <c r="R533" s="6"/>
      <c r="S533" s="26"/>
      <c r="T533" s="26"/>
      <c r="U533" s="27"/>
      <c r="V533" s="6"/>
      <c r="W533" s="6"/>
      <c r="X533" s="6"/>
      <c r="Y533" s="6"/>
      <c r="Z533" s="6"/>
      <c r="AA533" s="6"/>
      <c r="AB533" s="6"/>
      <c r="AC533" s="6"/>
      <c r="AD533" s="6"/>
    </row>
    <row r="534">
      <c r="A534" s="6"/>
      <c r="B534" s="6"/>
      <c r="C534" s="6"/>
      <c r="D534" s="6"/>
      <c r="E534" s="6"/>
      <c r="F534" s="6"/>
      <c r="G534" s="6"/>
      <c r="H534" s="25"/>
      <c r="I534" s="25"/>
      <c r="J534" s="6"/>
      <c r="K534" s="6"/>
      <c r="L534" s="6"/>
      <c r="M534" s="6"/>
      <c r="N534" s="6"/>
      <c r="O534" s="6"/>
      <c r="P534" s="6"/>
      <c r="Q534" s="6"/>
      <c r="R534" s="6"/>
      <c r="S534" s="26"/>
      <c r="T534" s="26"/>
      <c r="U534" s="27"/>
      <c r="V534" s="6"/>
      <c r="W534" s="6"/>
      <c r="X534" s="6"/>
      <c r="Y534" s="6"/>
      <c r="Z534" s="6"/>
      <c r="AA534" s="6"/>
      <c r="AB534" s="6"/>
      <c r="AC534" s="6"/>
      <c r="AD534" s="6"/>
    </row>
    <row r="535">
      <c r="A535" s="6"/>
      <c r="B535" s="6"/>
      <c r="C535" s="6"/>
      <c r="D535" s="6"/>
      <c r="E535" s="6"/>
      <c r="F535" s="6"/>
      <c r="G535" s="6"/>
      <c r="H535" s="25"/>
      <c r="I535" s="25"/>
      <c r="J535" s="6"/>
      <c r="K535" s="6"/>
      <c r="L535" s="6"/>
      <c r="M535" s="6"/>
      <c r="N535" s="6"/>
      <c r="O535" s="6"/>
      <c r="P535" s="6"/>
      <c r="Q535" s="6"/>
      <c r="R535" s="6"/>
      <c r="S535" s="26"/>
      <c r="T535" s="26"/>
      <c r="U535" s="27"/>
      <c r="V535" s="6"/>
      <c r="W535" s="6"/>
      <c r="X535" s="6"/>
      <c r="Y535" s="6"/>
      <c r="Z535" s="6"/>
      <c r="AA535" s="6"/>
      <c r="AB535" s="6"/>
      <c r="AC535" s="6"/>
      <c r="AD535" s="6"/>
    </row>
    <row r="536">
      <c r="A536" s="6"/>
      <c r="B536" s="6"/>
      <c r="C536" s="6"/>
      <c r="D536" s="6"/>
      <c r="E536" s="6"/>
      <c r="F536" s="6"/>
      <c r="G536" s="6"/>
      <c r="H536" s="25"/>
      <c r="I536" s="25"/>
      <c r="J536" s="6"/>
      <c r="K536" s="6"/>
      <c r="L536" s="6"/>
      <c r="M536" s="6"/>
      <c r="N536" s="6"/>
      <c r="O536" s="6"/>
      <c r="P536" s="6"/>
      <c r="Q536" s="6"/>
      <c r="R536" s="6"/>
      <c r="S536" s="26"/>
      <c r="T536" s="26"/>
      <c r="U536" s="27"/>
      <c r="V536" s="6"/>
      <c r="W536" s="6"/>
      <c r="X536" s="6"/>
      <c r="Y536" s="6"/>
      <c r="Z536" s="6"/>
      <c r="AA536" s="6"/>
      <c r="AB536" s="6"/>
      <c r="AC536" s="6"/>
      <c r="AD536" s="6"/>
    </row>
    <row r="537">
      <c r="A537" s="6"/>
      <c r="B537" s="6"/>
      <c r="C537" s="6"/>
      <c r="D537" s="6"/>
      <c r="E537" s="6"/>
      <c r="F537" s="6"/>
      <c r="G537" s="6"/>
      <c r="H537" s="25"/>
      <c r="I537" s="25"/>
      <c r="J537" s="6"/>
      <c r="K537" s="6"/>
      <c r="L537" s="6"/>
      <c r="M537" s="6"/>
      <c r="N537" s="6"/>
      <c r="O537" s="6"/>
      <c r="P537" s="6"/>
      <c r="Q537" s="6"/>
      <c r="R537" s="6"/>
      <c r="S537" s="26"/>
      <c r="T537" s="26"/>
      <c r="U537" s="27"/>
      <c r="V537" s="6"/>
      <c r="W537" s="6"/>
      <c r="X537" s="6"/>
      <c r="Y537" s="6"/>
      <c r="Z537" s="6"/>
      <c r="AA537" s="6"/>
      <c r="AB537" s="6"/>
      <c r="AC537" s="6"/>
      <c r="AD537" s="6"/>
    </row>
    <row r="538">
      <c r="A538" s="6"/>
      <c r="B538" s="6"/>
      <c r="C538" s="6"/>
      <c r="D538" s="6"/>
      <c r="E538" s="6"/>
      <c r="F538" s="6"/>
      <c r="G538" s="6"/>
      <c r="H538" s="25"/>
      <c r="I538" s="25"/>
      <c r="J538" s="6"/>
      <c r="K538" s="6"/>
      <c r="L538" s="6"/>
      <c r="M538" s="6"/>
      <c r="N538" s="6"/>
      <c r="O538" s="6"/>
      <c r="P538" s="6"/>
      <c r="Q538" s="6"/>
      <c r="R538" s="6"/>
      <c r="S538" s="26"/>
      <c r="T538" s="26"/>
      <c r="U538" s="27"/>
      <c r="V538" s="6"/>
      <c r="W538" s="6"/>
      <c r="X538" s="6"/>
      <c r="Y538" s="6"/>
      <c r="Z538" s="6"/>
      <c r="AA538" s="6"/>
      <c r="AB538" s="6"/>
      <c r="AC538" s="6"/>
      <c r="AD538" s="6"/>
    </row>
    <row r="539">
      <c r="A539" s="6"/>
      <c r="B539" s="6"/>
      <c r="C539" s="6"/>
      <c r="D539" s="6"/>
      <c r="E539" s="6"/>
      <c r="F539" s="6"/>
      <c r="G539" s="6"/>
      <c r="H539" s="25"/>
      <c r="I539" s="25"/>
      <c r="J539" s="6"/>
      <c r="K539" s="6"/>
      <c r="L539" s="6"/>
      <c r="M539" s="6"/>
      <c r="N539" s="6"/>
      <c r="O539" s="6"/>
      <c r="P539" s="6"/>
      <c r="Q539" s="6"/>
      <c r="R539" s="6"/>
      <c r="S539" s="26"/>
      <c r="T539" s="26"/>
      <c r="U539" s="27"/>
      <c r="V539" s="6"/>
      <c r="W539" s="6"/>
      <c r="X539" s="6"/>
      <c r="Y539" s="6"/>
      <c r="Z539" s="6"/>
      <c r="AA539" s="6"/>
      <c r="AB539" s="6"/>
      <c r="AC539" s="6"/>
      <c r="AD539" s="6"/>
    </row>
    <row r="540">
      <c r="A540" s="6"/>
      <c r="B540" s="6"/>
      <c r="C540" s="6"/>
      <c r="D540" s="6"/>
      <c r="E540" s="6"/>
      <c r="F540" s="6"/>
      <c r="G540" s="6"/>
      <c r="H540" s="25"/>
      <c r="I540" s="25"/>
      <c r="J540" s="6"/>
      <c r="K540" s="6"/>
      <c r="L540" s="6"/>
      <c r="M540" s="6"/>
      <c r="N540" s="6"/>
      <c r="O540" s="6"/>
      <c r="P540" s="6"/>
      <c r="Q540" s="6"/>
      <c r="R540" s="6"/>
      <c r="S540" s="26"/>
      <c r="T540" s="26"/>
      <c r="U540" s="27"/>
      <c r="V540" s="6"/>
      <c r="W540" s="6"/>
      <c r="X540" s="6"/>
      <c r="Y540" s="6"/>
      <c r="Z540" s="6"/>
      <c r="AA540" s="6"/>
      <c r="AB540" s="6"/>
      <c r="AC540" s="6"/>
      <c r="AD540" s="6"/>
    </row>
    <row r="541">
      <c r="A541" s="6"/>
      <c r="B541" s="6"/>
      <c r="C541" s="6"/>
      <c r="D541" s="6"/>
      <c r="E541" s="6"/>
      <c r="F541" s="6"/>
      <c r="G541" s="6"/>
      <c r="H541" s="25"/>
      <c r="I541" s="25"/>
      <c r="J541" s="6"/>
      <c r="K541" s="6"/>
      <c r="L541" s="6"/>
      <c r="M541" s="6"/>
      <c r="N541" s="6"/>
      <c r="O541" s="6"/>
      <c r="P541" s="6"/>
      <c r="Q541" s="6"/>
      <c r="R541" s="6"/>
      <c r="S541" s="26"/>
      <c r="T541" s="26"/>
      <c r="U541" s="27"/>
      <c r="V541" s="6"/>
      <c r="W541" s="6"/>
      <c r="X541" s="6"/>
      <c r="Y541" s="6"/>
      <c r="Z541" s="6"/>
      <c r="AA541" s="6"/>
      <c r="AB541" s="6"/>
      <c r="AC541" s="6"/>
      <c r="AD541" s="6"/>
    </row>
    <row r="542">
      <c r="A542" s="6"/>
      <c r="B542" s="6"/>
      <c r="C542" s="6"/>
      <c r="D542" s="6"/>
      <c r="E542" s="6"/>
      <c r="F542" s="6"/>
      <c r="G542" s="6"/>
      <c r="H542" s="25"/>
      <c r="I542" s="25"/>
      <c r="J542" s="6"/>
      <c r="K542" s="6"/>
      <c r="L542" s="6"/>
      <c r="M542" s="6"/>
      <c r="N542" s="6"/>
      <c r="O542" s="6"/>
      <c r="P542" s="6"/>
      <c r="Q542" s="6"/>
      <c r="R542" s="6"/>
      <c r="S542" s="26"/>
      <c r="T542" s="26"/>
      <c r="U542" s="27"/>
      <c r="V542" s="6"/>
      <c r="W542" s="6"/>
      <c r="X542" s="6"/>
      <c r="Y542" s="6"/>
      <c r="Z542" s="6"/>
      <c r="AA542" s="6"/>
      <c r="AB542" s="6"/>
      <c r="AC542" s="6"/>
      <c r="AD542" s="6"/>
    </row>
    <row r="543">
      <c r="A543" s="6"/>
      <c r="B543" s="6"/>
      <c r="C543" s="6"/>
      <c r="D543" s="6"/>
      <c r="E543" s="6"/>
      <c r="F543" s="6"/>
      <c r="G543" s="6"/>
      <c r="H543" s="25"/>
      <c r="I543" s="25"/>
      <c r="J543" s="6"/>
      <c r="K543" s="6"/>
      <c r="L543" s="6"/>
      <c r="M543" s="6"/>
      <c r="N543" s="6"/>
      <c r="O543" s="6"/>
      <c r="P543" s="6"/>
      <c r="Q543" s="6"/>
      <c r="R543" s="6"/>
      <c r="S543" s="26"/>
      <c r="T543" s="26"/>
      <c r="U543" s="27"/>
      <c r="V543" s="6"/>
      <c r="W543" s="6"/>
      <c r="X543" s="6"/>
      <c r="Y543" s="6"/>
      <c r="Z543" s="6"/>
      <c r="AA543" s="6"/>
      <c r="AB543" s="6"/>
      <c r="AC543" s="6"/>
      <c r="AD543" s="6"/>
    </row>
    <row r="544">
      <c r="A544" s="6"/>
      <c r="B544" s="6"/>
      <c r="C544" s="6"/>
      <c r="D544" s="6"/>
      <c r="E544" s="6"/>
      <c r="F544" s="6"/>
      <c r="G544" s="6"/>
      <c r="H544" s="25"/>
      <c r="I544" s="25"/>
      <c r="J544" s="6"/>
      <c r="K544" s="6"/>
      <c r="L544" s="6"/>
      <c r="M544" s="6"/>
      <c r="N544" s="6"/>
      <c r="O544" s="6"/>
      <c r="P544" s="6"/>
      <c r="Q544" s="6"/>
      <c r="R544" s="6"/>
      <c r="S544" s="26"/>
      <c r="T544" s="26"/>
      <c r="U544" s="27"/>
      <c r="V544" s="6"/>
      <c r="W544" s="6"/>
      <c r="X544" s="6"/>
      <c r="Y544" s="6"/>
      <c r="Z544" s="6"/>
      <c r="AA544" s="6"/>
      <c r="AB544" s="6"/>
      <c r="AC544" s="6"/>
      <c r="AD544" s="6"/>
    </row>
    <row r="545">
      <c r="A545" s="6"/>
      <c r="B545" s="6"/>
      <c r="C545" s="6"/>
      <c r="D545" s="6"/>
      <c r="E545" s="6"/>
      <c r="F545" s="6"/>
      <c r="G545" s="6"/>
      <c r="H545" s="25"/>
      <c r="I545" s="25"/>
      <c r="J545" s="6"/>
      <c r="K545" s="6"/>
      <c r="L545" s="6"/>
      <c r="M545" s="6"/>
      <c r="N545" s="6"/>
      <c r="O545" s="6"/>
      <c r="P545" s="6"/>
      <c r="Q545" s="6"/>
      <c r="R545" s="6"/>
      <c r="S545" s="26"/>
      <c r="T545" s="26"/>
      <c r="U545" s="27"/>
      <c r="V545" s="6"/>
      <c r="W545" s="6"/>
      <c r="X545" s="6"/>
      <c r="Y545" s="6"/>
      <c r="Z545" s="6"/>
      <c r="AA545" s="6"/>
      <c r="AB545" s="6"/>
      <c r="AC545" s="6"/>
      <c r="AD545" s="6"/>
    </row>
    <row r="546">
      <c r="A546" s="6"/>
      <c r="B546" s="6"/>
      <c r="C546" s="6"/>
      <c r="D546" s="6"/>
      <c r="E546" s="6"/>
      <c r="F546" s="6"/>
      <c r="G546" s="6"/>
      <c r="H546" s="25"/>
      <c r="I546" s="25"/>
      <c r="J546" s="6"/>
      <c r="K546" s="6"/>
      <c r="L546" s="6"/>
      <c r="M546" s="6"/>
      <c r="N546" s="6"/>
      <c r="O546" s="6"/>
      <c r="P546" s="6"/>
      <c r="Q546" s="6"/>
      <c r="R546" s="6"/>
      <c r="S546" s="26"/>
      <c r="T546" s="26"/>
      <c r="U546" s="27"/>
      <c r="V546" s="6"/>
      <c r="W546" s="6"/>
      <c r="X546" s="6"/>
      <c r="Y546" s="6"/>
      <c r="Z546" s="6"/>
      <c r="AA546" s="6"/>
      <c r="AB546" s="6"/>
      <c r="AC546" s="6"/>
      <c r="AD546" s="6"/>
    </row>
    <row r="547">
      <c r="A547" s="6"/>
      <c r="B547" s="6"/>
      <c r="C547" s="6"/>
      <c r="D547" s="6"/>
      <c r="E547" s="6"/>
      <c r="F547" s="6"/>
      <c r="G547" s="6"/>
      <c r="H547" s="25"/>
      <c r="I547" s="25"/>
      <c r="J547" s="6"/>
      <c r="K547" s="6"/>
      <c r="L547" s="6"/>
      <c r="M547" s="6"/>
      <c r="N547" s="6"/>
      <c r="O547" s="6"/>
      <c r="P547" s="6"/>
      <c r="Q547" s="6"/>
      <c r="R547" s="6"/>
      <c r="S547" s="26"/>
      <c r="T547" s="26"/>
      <c r="U547" s="27"/>
      <c r="V547" s="6"/>
      <c r="W547" s="6"/>
      <c r="X547" s="6"/>
      <c r="Y547" s="6"/>
      <c r="Z547" s="6"/>
      <c r="AA547" s="6"/>
      <c r="AB547" s="6"/>
      <c r="AC547" s="6"/>
      <c r="AD547" s="6"/>
    </row>
    <row r="548">
      <c r="A548" s="6"/>
      <c r="B548" s="6"/>
      <c r="C548" s="6"/>
      <c r="D548" s="6"/>
      <c r="E548" s="6"/>
      <c r="F548" s="6"/>
      <c r="G548" s="6"/>
      <c r="H548" s="25"/>
      <c r="I548" s="25"/>
      <c r="J548" s="6"/>
      <c r="K548" s="6"/>
      <c r="L548" s="6"/>
      <c r="M548" s="6"/>
      <c r="N548" s="6"/>
      <c r="O548" s="6"/>
      <c r="P548" s="6"/>
      <c r="Q548" s="6"/>
      <c r="R548" s="6"/>
      <c r="S548" s="26"/>
      <c r="T548" s="26"/>
      <c r="U548" s="27"/>
      <c r="V548" s="6"/>
      <c r="W548" s="6"/>
      <c r="X548" s="6"/>
      <c r="Y548" s="6"/>
      <c r="Z548" s="6"/>
      <c r="AA548" s="6"/>
      <c r="AB548" s="6"/>
      <c r="AC548" s="6"/>
      <c r="AD548" s="6"/>
    </row>
    <row r="549">
      <c r="A549" s="6"/>
      <c r="B549" s="6"/>
      <c r="C549" s="6"/>
      <c r="D549" s="6"/>
      <c r="E549" s="6"/>
      <c r="F549" s="6"/>
      <c r="G549" s="6"/>
      <c r="H549" s="25"/>
      <c r="I549" s="25"/>
      <c r="J549" s="6"/>
      <c r="K549" s="6"/>
      <c r="L549" s="6"/>
      <c r="M549" s="6"/>
      <c r="N549" s="6"/>
      <c r="O549" s="6"/>
      <c r="P549" s="6"/>
      <c r="Q549" s="6"/>
      <c r="R549" s="6"/>
      <c r="S549" s="26"/>
      <c r="T549" s="26"/>
      <c r="U549" s="27"/>
      <c r="V549" s="6"/>
      <c r="W549" s="6"/>
      <c r="X549" s="6"/>
      <c r="Y549" s="6"/>
      <c r="Z549" s="6"/>
      <c r="AA549" s="6"/>
      <c r="AB549" s="6"/>
      <c r="AC549" s="6"/>
      <c r="AD549" s="6"/>
    </row>
    <row r="550">
      <c r="A550" s="6"/>
      <c r="B550" s="6"/>
      <c r="C550" s="6"/>
      <c r="D550" s="6"/>
      <c r="E550" s="6"/>
      <c r="F550" s="6"/>
      <c r="G550" s="6"/>
      <c r="H550" s="25"/>
      <c r="I550" s="25"/>
      <c r="J550" s="6"/>
      <c r="K550" s="6"/>
      <c r="L550" s="6"/>
      <c r="M550" s="6"/>
      <c r="N550" s="6"/>
      <c r="O550" s="6"/>
      <c r="P550" s="6"/>
      <c r="Q550" s="6"/>
      <c r="R550" s="6"/>
      <c r="S550" s="26"/>
      <c r="T550" s="26"/>
      <c r="U550" s="27"/>
      <c r="V550" s="6"/>
      <c r="W550" s="6"/>
      <c r="X550" s="6"/>
      <c r="Y550" s="6"/>
      <c r="Z550" s="6"/>
      <c r="AA550" s="6"/>
      <c r="AB550" s="6"/>
      <c r="AC550" s="6"/>
      <c r="AD550" s="6"/>
    </row>
    <row r="551">
      <c r="A551" s="6"/>
      <c r="B551" s="6"/>
      <c r="C551" s="6"/>
      <c r="D551" s="6"/>
      <c r="E551" s="6"/>
      <c r="F551" s="6"/>
      <c r="G551" s="6"/>
      <c r="H551" s="25"/>
      <c r="I551" s="25"/>
      <c r="J551" s="6"/>
      <c r="K551" s="6"/>
      <c r="L551" s="6"/>
      <c r="M551" s="6"/>
      <c r="N551" s="6"/>
      <c r="O551" s="6"/>
      <c r="P551" s="6"/>
      <c r="Q551" s="6"/>
      <c r="R551" s="6"/>
      <c r="S551" s="26"/>
      <c r="T551" s="26"/>
      <c r="U551" s="27"/>
      <c r="V551" s="6"/>
      <c r="W551" s="6"/>
      <c r="X551" s="6"/>
      <c r="Y551" s="6"/>
      <c r="Z551" s="6"/>
      <c r="AA551" s="6"/>
      <c r="AB551" s="6"/>
      <c r="AC551" s="6"/>
      <c r="AD551" s="6"/>
    </row>
    <row r="552">
      <c r="A552" s="6"/>
      <c r="B552" s="6"/>
      <c r="C552" s="6"/>
      <c r="D552" s="6"/>
      <c r="E552" s="6"/>
      <c r="F552" s="6"/>
      <c r="G552" s="6"/>
      <c r="H552" s="25"/>
      <c r="I552" s="25"/>
      <c r="J552" s="6"/>
      <c r="K552" s="6"/>
      <c r="L552" s="6"/>
      <c r="M552" s="6"/>
      <c r="N552" s="6"/>
      <c r="O552" s="6"/>
      <c r="P552" s="6"/>
      <c r="Q552" s="6"/>
      <c r="R552" s="6"/>
      <c r="S552" s="26"/>
      <c r="T552" s="26"/>
      <c r="U552" s="27"/>
      <c r="V552" s="6"/>
      <c r="W552" s="6"/>
      <c r="X552" s="6"/>
      <c r="Y552" s="6"/>
      <c r="Z552" s="6"/>
      <c r="AA552" s="6"/>
      <c r="AB552" s="6"/>
      <c r="AC552" s="6"/>
      <c r="AD552" s="6"/>
    </row>
    <row r="553">
      <c r="A553" s="6"/>
      <c r="B553" s="6"/>
      <c r="C553" s="6"/>
      <c r="D553" s="6"/>
      <c r="E553" s="6"/>
      <c r="F553" s="6"/>
      <c r="G553" s="6"/>
      <c r="H553" s="25"/>
      <c r="I553" s="25"/>
      <c r="J553" s="6"/>
      <c r="K553" s="6"/>
      <c r="L553" s="6"/>
      <c r="M553" s="6"/>
      <c r="N553" s="6"/>
      <c r="O553" s="6"/>
      <c r="P553" s="6"/>
      <c r="Q553" s="6"/>
      <c r="R553" s="6"/>
      <c r="S553" s="26"/>
      <c r="T553" s="26"/>
      <c r="U553" s="27"/>
      <c r="V553" s="6"/>
      <c r="W553" s="6"/>
      <c r="X553" s="6"/>
      <c r="Y553" s="6"/>
      <c r="Z553" s="6"/>
      <c r="AA553" s="6"/>
      <c r="AB553" s="6"/>
      <c r="AC553" s="6"/>
      <c r="AD553" s="6"/>
    </row>
    <row r="554">
      <c r="A554" s="6"/>
      <c r="B554" s="6"/>
      <c r="C554" s="6"/>
      <c r="D554" s="6"/>
      <c r="E554" s="6"/>
      <c r="F554" s="6"/>
      <c r="G554" s="6"/>
      <c r="H554" s="25"/>
      <c r="I554" s="25"/>
      <c r="J554" s="6"/>
      <c r="K554" s="6"/>
      <c r="L554" s="6"/>
      <c r="M554" s="6"/>
      <c r="N554" s="6"/>
      <c r="O554" s="6"/>
      <c r="P554" s="6"/>
      <c r="Q554" s="6"/>
      <c r="R554" s="6"/>
      <c r="S554" s="26"/>
      <c r="T554" s="26"/>
      <c r="U554" s="27"/>
      <c r="V554" s="6"/>
      <c r="W554" s="6"/>
      <c r="X554" s="6"/>
      <c r="Y554" s="6"/>
      <c r="Z554" s="6"/>
      <c r="AA554" s="6"/>
      <c r="AB554" s="6"/>
      <c r="AC554" s="6"/>
      <c r="AD554" s="6"/>
    </row>
    <row r="555">
      <c r="A555" s="6"/>
      <c r="B555" s="6"/>
      <c r="C555" s="6"/>
      <c r="D555" s="6"/>
      <c r="E555" s="6"/>
      <c r="F555" s="6"/>
      <c r="G555" s="6"/>
      <c r="H555" s="25"/>
      <c r="I555" s="25"/>
      <c r="J555" s="6"/>
      <c r="K555" s="6"/>
      <c r="L555" s="6"/>
      <c r="M555" s="6"/>
      <c r="N555" s="6"/>
      <c r="O555" s="6"/>
      <c r="P555" s="6"/>
      <c r="Q555" s="6"/>
      <c r="R555" s="6"/>
      <c r="S555" s="26"/>
      <c r="T555" s="26"/>
      <c r="U555" s="27"/>
      <c r="V555" s="6"/>
      <c r="W555" s="6"/>
      <c r="X555" s="6"/>
      <c r="Y555" s="6"/>
      <c r="Z555" s="6"/>
      <c r="AA555" s="6"/>
      <c r="AB555" s="6"/>
      <c r="AC555" s="6"/>
      <c r="AD555" s="6"/>
    </row>
    <row r="556">
      <c r="A556" s="6"/>
      <c r="B556" s="6"/>
      <c r="C556" s="6"/>
      <c r="D556" s="6"/>
      <c r="E556" s="6"/>
      <c r="F556" s="6"/>
      <c r="G556" s="6"/>
      <c r="H556" s="25"/>
      <c r="I556" s="25"/>
      <c r="J556" s="6"/>
      <c r="K556" s="6"/>
      <c r="L556" s="6"/>
      <c r="M556" s="6"/>
      <c r="N556" s="6"/>
      <c r="O556" s="6"/>
      <c r="P556" s="6"/>
      <c r="Q556" s="6"/>
      <c r="R556" s="6"/>
      <c r="S556" s="26"/>
      <c r="T556" s="26"/>
      <c r="U556" s="27"/>
      <c r="V556" s="6"/>
      <c r="W556" s="6"/>
      <c r="X556" s="6"/>
      <c r="Y556" s="6"/>
      <c r="Z556" s="6"/>
      <c r="AA556" s="6"/>
      <c r="AB556" s="6"/>
      <c r="AC556" s="6"/>
      <c r="AD556" s="6"/>
    </row>
    <row r="557">
      <c r="A557" s="6"/>
      <c r="B557" s="6"/>
      <c r="C557" s="6"/>
      <c r="D557" s="6"/>
      <c r="E557" s="6"/>
      <c r="F557" s="6"/>
      <c r="G557" s="6"/>
      <c r="H557" s="25"/>
      <c r="I557" s="25"/>
      <c r="J557" s="6"/>
      <c r="K557" s="6"/>
      <c r="L557" s="6"/>
      <c r="M557" s="6"/>
      <c r="N557" s="6"/>
      <c r="O557" s="6"/>
      <c r="P557" s="6"/>
      <c r="Q557" s="6"/>
      <c r="R557" s="6"/>
      <c r="S557" s="26"/>
      <c r="T557" s="26"/>
      <c r="U557" s="27"/>
      <c r="V557" s="6"/>
      <c r="W557" s="6"/>
      <c r="X557" s="6"/>
      <c r="Y557" s="6"/>
      <c r="Z557" s="6"/>
      <c r="AA557" s="6"/>
      <c r="AB557" s="6"/>
      <c r="AC557" s="6"/>
      <c r="AD557" s="6"/>
    </row>
    <row r="558">
      <c r="A558" s="6"/>
      <c r="B558" s="6"/>
      <c r="C558" s="6"/>
      <c r="D558" s="6"/>
      <c r="E558" s="6"/>
      <c r="F558" s="6"/>
      <c r="G558" s="6"/>
      <c r="H558" s="25"/>
      <c r="I558" s="25"/>
      <c r="J558" s="6"/>
      <c r="K558" s="6"/>
      <c r="L558" s="6"/>
      <c r="M558" s="6"/>
      <c r="N558" s="6"/>
      <c r="O558" s="6"/>
      <c r="P558" s="6"/>
      <c r="Q558" s="6"/>
      <c r="R558" s="6"/>
      <c r="S558" s="26"/>
      <c r="T558" s="26"/>
      <c r="U558" s="27"/>
      <c r="V558" s="6"/>
      <c r="W558" s="6"/>
      <c r="X558" s="6"/>
      <c r="Y558" s="6"/>
      <c r="Z558" s="6"/>
      <c r="AA558" s="6"/>
      <c r="AB558" s="6"/>
      <c r="AC558" s="6"/>
      <c r="AD558" s="6"/>
    </row>
    <row r="559">
      <c r="A559" s="6"/>
      <c r="B559" s="6"/>
      <c r="C559" s="6"/>
      <c r="D559" s="6"/>
      <c r="E559" s="6"/>
      <c r="F559" s="6"/>
      <c r="G559" s="6"/>
      <c r="H559" s="25"/>
      <c r="I559" s="25"/>
      <c r="J559" s="6"/>
      <c r="K559" s="6"/>
      <c r="L559" s="6"/>
      <c r="M559" s="6"/>
      <c r="N559" s="6"/>
      <c r="O559" s="6"/>
      <c r="P559" s="6"/>
      <c r="Q559" s="6"/>
      <c r="R559" s="6"/>
      <c r="S559" s="26"/>
      <c r="T559" s="26"/>
      <c r="U559" s="27"/>
      <c r="V559" s="6"/>
      <c r="W559" s="6"/>
      <c r="X559" s="6"/>
      <c r="Y559" s="6"/>
      <c r="Z559" s="6"/>
      <c r="AA559" s="6"/>
      <c r="AB559" s="6"/>
      <c r="AC559" s="6"/>
      <c r="AD559" s="6"/>
    </row>
    <row r="560">
      <c r="A560" s="6"/>
      <c r="B560" s="6"/>
      <c r="C560" s="6"/>
      <c r="D560" s="6"/>
      <c r="E560" s="6"/>
      <c r="F560" s="6"/>
      <c r="G560" s="6"/>
      <c r="H560" s="25"/>
      <c r="I560" s="25"/>
      <c r="J560" s="6"/>
      <c r="K560" s="6"/>
      <c r="L560" s="6"/>
      <c r="M560" s="6"/>
      <c r="N560" s="6"/>
      <c r="O560" s="6"/>
      <c r="P560" s="6"/>
      <c r="Q560" s="6"/>
      <c r="R560" s="6"/>
      <c r="S560" s="26"/>
      <c r="T560" s="26"/>
      <c r="U560" s="27"/>
      <c r="V560" s="6"/>
      <c r="W560" s="6"/>
      <c r="X560" s="6"/>
      <c r="Y560" s="6"/>
      <c r="Z560" s="6"/>
      <c r="AA560" s="6"/>
      <c r="AB560" s="6"/>
      <c r="AC560" s="6"/>
      <c r="AD560" s="6"/>
    </row>
    <row r="561">
      <c r="A561" s="6"/>
      <c r="B561" s="6"/>
      <c r="C561" s="6"/>
      <c r="D561" s="6"/>
      <c r="E561" s="6"/>
      <c r="F561" s="6"/>
      <c r="G561" s="6"/>
      <c r="H561" s="25"/>
      <c r="I561" s="25"/>
      <c r="J561" s="6"/>
      <c r="K561" s="6"/>
      <c r="L561" s="6"/>
      <c r="M561" s="6"/>
      <c r="N561" s="6"/>
      <c r="O561" s="6"/>
      <c r="P561" s="6"/>
      <c r="Q561" s="6"/>
      <c r="R561" s="6"/>
      <c r="S561" s="26"/>
      <c r="T561" s="26"/>
      <c r="U561" s="27"/>
      <c r="V561" s="6"/>
      <c r="W561" s="6"/>
      <c r="X561" s="6"/>
      <c r="Y561" s="6"/>
      <c r="Z561" s="6"/>
      <c r="AA561" s="6"/>
      <c r="AB561" s="6"/>
      <c r="AC561" s="6"/>
      <c r="AD561" s="6"/>
    </row>
    <row r="562">
      <c r="A562" s="6"/>
      <c r="B562" s="6"/>
      <c r="C562" s="6"/>
      <c r="D562" s="6"/>
      <c r="E562" s="6"/>
      <c r="F562" s="6"/>
      <c r="G562" s="6"/>
      <c r="H562" s="25"/>
      <c r="I562" s="25"/>
      <c r="J562" s="6"/>
      <c r="K562" s="6"/>
      <c r="L562" s="6"/>
      <c r="M562" s="6"/>
      <c r="N562" s="6"/>
      <c r="O562" s="6"/>
      <c r="P562" s="6"/>
      <c r="Q562" s="6"/>
      <c r="R562" s="6"/>
      <c r="S562" s="26"/>
      <c r="T562" s="26"/>
      <c r="U562" s="27"/>
      <c r="V562" s="6"/>
      <c r="W562" s="6"/>
      <c r="X562" s="6"/>
      <c r="Y562" s="6"/>
      <c r="Z562" s="6"/>
      <c r="AA562" s="6"/>
      <c r="AB562" s="6"/>
      <c r="AC562" s="6"/>
      <c r="AD562" s="6"/>
    </row>
    <row r="563">
      <c r="A563" s="6"/>
      <c r="B563" s="6"/>
      <c r="C563" s="6"/>
      <c r="D563" s="6"/>
      <c r="E563" s="6"/>
      <c r="F563" s="6"/>
      <c r="G563" s="6"/>
      <c r="H563" s="25"/>
      <c r="I563" s="25"/>
      <c r="J563" s="6"/>
      <c r="K563" s="6"/>
      <c r="L563" s="6"/>
      <c r="M563" s="6"/>
      <c r="N563" s="6"/>
      <c r="O563" s="6"/>
      <c r="P563" s="6"/>
      <c r="Q563" s="6"/>
      <c r="R563" s="6"/>
      <c r="S563" s="26"/>
      <c r="T563" s="26"/>
      <c r="U563" s="27"/>
      <c r="V563" s="6"/>
      <c r="W563" s="6"/>
      <c r="X563" s="6"/>
      <c r="Y563" s="6"/>
      <c r="Z563" s="6"/>
      <c r="AA563" s="6"/>
      <c r="AB563" s="6"/>
      <c r="AC563" s="6"/>
      <c r="AD563" s="6"/>
    </row>
    <row r="564">
      <c r="A564" s="6"/>
      <c r="B564" s="6"/>
      <c r="C564" s="6"/>
      <c r="D564" s="6"/>
      <c r="E564" s="6"/>
      <c r="F564" s="6"/>
      <c r="G564" s="6"/>
      <c r="H564" s="25"/>
      <c r="I564" s="25"/>
      <c r="J564" s="6"/>
      <c r="K564" s="6"/>
      <c r="L564" s="6"/>
      <c r="M564" s="6"/>
      <c r="N564" s="6"/>
      <c r="O564" s="6"/>
      <c r="P564" s="6"/>
      <c r="Q564" s="6"/>
      <c r="R564" s="6"/>
      <c r="S564" s="26"/>
      <c r="T564" s="26"/>
      <c r="U564" s="27"/>
      <c r="V564" s="6"/>
      <c r="W564" s="6"/>
      <c r="X564" s="6"/>
      <c r="Y564" s="6"/>
      <c r="Z564" s="6"/>
      <c r="AA564" s="6"/>
      <c r="AB564" s="6"/>
      <c r="AC564" s="6"/>
      <c r="AD564" s="6"/>
    </row>
    <row r="565">
      <c r="A565" s="6"/>
      <c r="B565" s="6"/>
      <c r="C565" s="6"/>
      <c r="D565" s="6"/>
      <c r="E565" s="6"/>
      <c r="F565" s="6"/>
      <c r="G565" s="6"/>
      <c r="H565" s="25"/>
      <c r="I565" s="25"/>
      <c r="J565" s="6"/>
      <c r="K565" s="6"/>
      <c r="L565" s="6"/>
      <c r="M565" s="6"/>
      <c r="N565" s="6"/>
      <c r="O565" s="6"/>
      <c r="P565" s="6"/>
      <c r="Q565" s="6"/>
      <c r="R565" s="6"/>
      <c r="S565" s="26"/>
      <c r="T565" s="26"/>
      <c r="U565" s="27"/>
      <c r="V565" s="6"/>
      <c r="W565" s="6"/>
      <c r="X565" s="6"/>
      <c r="Y565" s="6"/>
      <c r="Z565" s="6"/>
      <c r="AA565" s="6"/>
      <c r="AB565" s="6"/>
      <c r="AC565" s="6"/>
      <c r="AD565" s="6"/>
    </row>
    <row r="566">
      <c r="A566" s="6"/>
      <c r="B566" s="6"/>
      <c r="C566" s="6"/>
      <c r="D566" s="6"/>
      <c r="E566" s="6"/>
      <c r="F566" s="6"/>
      <c r="G566" s="6"/>
      <c r="H566" s="25"/>
      <c r="I566" s="25"/>
      <c r="J566" s="6"/>
      <c r="K566" s="6"/>
      <c r="L566" s="6"/>
      <c r="M566" s="6"/>
      <c r="N566" s="6"/>
      <c r="O566" s="6"/>
      <c r="P566" s="6"/>
      <c r="Q566" s="6"/>
      <c r="R566" s="6"/>
      <c r="S566" s="26"/>
      <c r="T566" s="26"/>
      <c r="U566" s="27"/>
      <c r="V566" s="6"/>
      <c r="W566" s="6"/>
      <c r="X566" s="6"/>
      <c r="Y566" s="6"/>
      <c r="Z566" s="6"/>
      <c r="AA566" s="6"/>
      <c r="AB566" s="6"/>
      <c r="AC566" s="6"/>
      <c r="AD566" s="6"/>
    </row>
    <row r="567">
      <c r="A567" s="6"/>
      <c r="B567" s="6"/>
      <c r="C567" s="6"/>
      <c r="D567" s="6"/>
      <c r="E567" s="6"/>
      <c r="F567" s="6"/>
      <c r="G567" s="6"/>
      <c r="H567" s="25"/>
      <c r="I567" s="25"/>
      <c r="J567" s="6"/>
      <c r="K567" s="6"/>
      <c r="L567" s="6"/>
      <c r="M567" s="6"/>
      <c r="N567" s="6"/>
      <c r="O567" s="6"/>
      <c r="P567" s="6"/>
      <c r="Q567" s="6"/>
      <c r="R567" s="6"/>
      <c r="S567" s="26"/>
      <c r="T567" s="26"/>
      <c r="U567" s="27"/>
      <c r="V567" s="6"/>
      <c r="W567" s="6"/>
      <c r="X567" s="6"/>
      <c r="Y567" s="6"/>
      <c r="Z567" s="6"/>
      <c r="AA567" s="6"/>
      <c r="AB567" s="6"/>
      <c r="AC567" s="6"/>
      <c r="AD567" s="6"/>
    </row>
    <row r="568">
      <c r="A568" s="6"/>
      <c r="B568" s="6"/>
      <c r="C568" s="6"/>
      <c r="D568" s="6"/>
      <c r="E568" s="6"/>
      <c r="F568" s="6"/>
      <c r="G568" s="6"/>
      <c r="H568" s="25"/>
      <c r="I568" s="25"/>
      <c r="J568" s="6"/>
      <c r="K568" s="6"/>
      <c r="L568" s="6"/>
      <c r="M568" s="6"/>
      <c r="N568" s="6"/>
      <c r="O568" s="6"/>
      <c r="P568" s="6"/>
      <c r="Q568" s="6"/>
      <c r="R568" s="6"/>
      <c r="S568" s="26"/>
      <c r="T568" s="26"/>
      <c r="U568" s="27"/>
      <c r="V568" s="6"/>
      <c r="W568" s="6"/>
      <c r="X568" s="6"/>
      <c r="Y568" s="6"/>
      <c r="Z568" s="6"/>
      <c r="AA568" s="6"/>
      <c r="AB568" s="6"/>
      <c r="AC568" s="6"/>
      <c r="AD568" s="6"/>
    </row>
    <row r="569">
      <c r="A569" s="6"/>
      <c r="B569" s="6"/>
      <c r="C569" s="6"/>
      <c r="D569" s="6"/>
      <c r="E569" s="6"/>
      <c r="F569" s="6"/>
      <c r="G569" s="6"/>
      <c r="H569" s="25"/>
      <c r="I569" s="25"/>
      <c r="J569" s="6"/>
      <c r="K569" s="6"/>
      <c r="L569" s="6"/>
      <c r="M569" s="6"/>
      <c r="N569" s="6"/>
      <c r="O569" s="6"/>
      <c r="P569" s="6"/>
      <c r="Q569" s="6"/>
      <c r="R569" s="6"/>
      <c r="S569" s="26"/>
      <c r="T569" s="26"/>
      <c r="U569" s="27"/>
      <c r="V569" s="6"/>
      <c r="W569" s="6"/>
      <c r="X569" s="6"/>
      <c r="Y569" s="6"/>
      <c r="Z569" s="6"/>
      <c r="AA569" s="6"/>
      <c r="AB569" s="6"/>
      <c r="AC569" s="6"/>
      <c r="AD569" s="6"/>
    </row>
    <row r="570">
      <c r="A570" s="6"/>
      <c r="B570" s="6"/>
      <c r="C570" s="6"/>
      <c r="D570" s="6"/>
      <c r="E570" s="6"/>
      <c r="F570" s="6"/>
      <c r="G570" s="6"/>
      <c r="H570" s="25"/>
      <c r="I570" s="25"/>
      <c r="J570" s="6"/>
      <c r="K570" s="6"/>
      <c r="L570" s="6"/>
      <c r="M570" s="6"/>
      <c r="N570" s="6"/>
      <c r="O570" s="6"/>
      <c r="P570" s="6"/>
      <c r="Q570" s="6"/>
      <c r="R570" s="6"/>
      <c r="S570" s="26"/>
      <c r="T570" s="26"/>
      <c r="U570" s="27"/>
      <c r="V570" s="6"/>
      <c r="W570" s="6"/>
      <c r="X570" s="6"/>
      <c r="Y570" s="6"/>
      <c r="Z570" s="6"/>
      <c r="AA570" s="6"/>
      <c r="AB570" s="6"/>
      <c r="AC570" s="6"/>
      <c r="AD570" s="6"/>
    </row>
    <row r="571">
      <c r="A571" s="6"/>
      <c r="B571" s="6"/>
      <c r="C571" s="6"/>
      <c r="D571" s="6"/>
      <c r="E571" s="6"/>
      <c r="F571" s="6"/>
      <c r="G571" s="6"/>
      <c r="H571" s="25"/>
      <c r="I571" s="25"/>
      <c r="J571" s="6"/>
      <c r="K571" s="6"/>
      <c r="L571" s="6"/>
      <c r="M571" s="6"/>
      <c r="N571" s="6"/>
      <c r="O571" s="6"/>
      <c r="P571" s="6"/>
      <c r="Q571" s="6"/>
      <c r="R571" s="6"/>
      <c r="S571" s="26"/>
      <c r="T571" s="26"/>
      <c r="U571" s="27"/>
      <c r="V571" s="6"/>
      <c r="W571" s="6"/>
      <c r="X571" s="6"/>
      <c r="Y571" s="6"/>
      <c r="Z571" s="6"/>
      <c r="AA571" s="6"/>
      <c r="AB571" s="6"/>
      <c r="AC571" s="6"/>
      <c r="AD571" s="6"/>
    </row>
    <row r="572">
      <c r="A572" s="6"/>
      <c r="B572" s="6"/>
      <c r="C572" s="6"/>
      <c r="D572" s="6"/>
      <c r="E572" s="6"/>
      <c r="F572" s="6"/>
      <c r="G572" s="6"/>
      <c r="H572" s="25"/>
      <c r="I572" s="25"/>
      <c r="J572" s="6"/>
      <c r="K572" s="6"/>
      <c r="L572" s="6"/>
      <c r="M572" s="6"/>
      <c r="N572" s="6"/>
      <c r="O572" s="6"/>
      <c r="P572" s="6"/>
      <c r="Q572" s="6"/>
      <c r="R572" s="6"/>
      <c r="S572" s="26"/>
      <c r="T572" s="26"/>
      <c r="U572" s="27"/>
      <c r="V572" s="6"/>
      <c r="W572" s="6"/>
      <c r="X572" s="6"/>
      <c r="Y572" s="6"/>
      <c r="Z572" s="6"/>
      <c r="AA572" s="6"/>
      <c r="AB572" s="6"/>
      <c r="AC572" s="6"/>
      <c r="AD572" s="6"/>
    </row>
    <row r="573">
      <c r="A573" s="6"/>
      <c r="B573" s="6"/>
      <c r="C573" s="6"/>
      <c r="D573" s="6"/>
      <c r="E573" s="6"/>
      <c r="F573" s="6"/>
      <c r="G573" s="6"/>
      <c r="H573" s="25"/>
      <c r="I573" s="25"/>
      <c r="J573" s="6"/>
      <c r="K573" s="6"/>
      <c r="L573" s="6"/>
      <c r="M573" s="6"/>
      <c r="N573" s="6"/>
      <c r="O573" s="6"/>
      <c r="P573" s="6"/>
      <c r="Q573" s="6"/>
      <c r="R573" s="6"/>
      <c r="S573" s="26"/>
      <c r="T573" s="26"/>
      <c r="U573" s="27"/>
      <c r="V573" s="6"/>
      <c r="W573" s="6"/>
      <c r="X573" s="6"/>
      <c r="Y573" s="6"/>
      <c r="Z573" s="6"/>
      <c r="AA573" s="6"/>
      <c r="AB573" s="6"/>
      <c r="AC573" s="6"/>
      <c r="AD573" s="6"/>
    </row>
    <row r="574">
      <c r="A574" s="6"/>
      <c r="B574" s="6"/>
      <c r="C574" s="6"/>
      <c r="D574" s="6"/>
      <c r="E574" s="6"/>
      <c r="F574" s="6"/>
      <c r="G574" s="6"/>
      <c r="H574" s="25"/>
      <c r="I574" s="25"/>
      <c r="J574" s="6"/>
      <c r="K574" s="6"/>
      <c r="L574" s="6"/>
      <c r="M574" s="6"/>
      <c r="N574" s="6"/>
      <c r="O574" s="6"/>
      <c r="P574" s="6"/>
      <c r="Q574" s="6"/>
      <c r="R574" s="6"/>
      <c r="S574" s="26"/>
      <c r="T574" s="26"/>
      <c r="U574" s="27"/>
      <c r="V574" s="6"/>
      <c r="W574" s="6"/>
      <c r="X574" s="6"/>
      <c r="Y574" s="6"/>
      <c r="Z574" s="6"/>
      <c r="AA574" s="6"/>
      <c r="AB574" s="6"/>
      <c r="AC574" s="6"/>
      <c r="AD574" s="6"/>
    </row>
    <row r="575">
      <c r="A575" s="6"/>
      <c r="B575" s="6"/>
      <c r="C575" s="6"/>
      <c r="D575" s="6"/>
      <c r="E575" s="6"/>
      <c r="F575" s="6"/>
      <c r="G575" s="6"/>
      <c r="H575" s="25"/>
      <c r="I575" s="25"/>
      <c r="J575" s="6"/>
      <c r="K575" s="6"/>
      <c r="L575" s="6"/>
      <c r="M575" s="6"/>
      <c r="N575" s="6"/>
      <c r="O575" s="6"/>
      <c r="P575" s="6"/>
      <c r="Q575" s="6"/>
      <c r="R575" s="6"/>
      <c r="S575" s="26"/>
      <c r="T575" s="26"/>
      <c r="U575" s="27"/>
      <c r="V575" s="6"/>
      <c r="W575" s="6"/>
      <c r="X575" s="6"/>
      <c r="Y575" s="6"/>
      <c r="Z575" s="6"/>
      <c r="AA575" s="6"/>
      <c r="AB575" s="6"/>
      <c r="AC575" s="6"/>
      <c r="AD575" s="6"/>
    </row>
    <row r="576">
      <c r="A576" s="6"/>
      <c r="B576" s="6"/>
      <c r="C576" s="6"/>
      <c r="D576" s="6"/>
      <c r="E576" s="6"/>
      <c r="F576" s="6"/>
      <c r="G576" s="6"/>
      <c r="H576" s="25"/>
      <c r="I576" s="25"/>
      <c r="J576" s="6"/>
      <c r="K576" s="6"/>
      <c r="L576" s="6"/>
      <c r="M576" s="6"/>
      <c r="N576" s="6"/>
      <c r="O576" s="6"/>
      <c r="P576" s="6"/>
      <c r="Q576" s="6"/>
      <c r="R576" s="6"/>
      <c r="S576" s="26"/>
      <c r="T576" s="26"/>
      <c r="U576" s="27"/>
      <c r="V576" s="6"/>
      <c r="W576" s="6"/>
      <c r="X576" s="6"/>
      <c r="Y576" s="6"/>
      <c r="Z576" s="6"/>
      <c r="AA576" s="6"/>
      <c r="AB576" s="6"/>
      <c r="AC576" s="6"/>
      <c r="AD576" s="6"/>
    </row>
    <row r="577">
      <c r="A577" s="6"/>
      <c r="B577" s="6"/>
      <c r="C577" s="6"/>
      <c r="D577" s="6"/>
      <c r="E577" s="6"/>
      <c r="F577" s="6"/>
      <c r="G577" s="6"/>
      <c r="H577" s="25"/>
      <c r="I577" s="25"/>
      <c r="J577" s="6"/>
      <c r="K577" s="6"/>
      <c r="L577" s="6"/>
      <c r="M577" s="6"/>
      <c r="N577" s="6"/>
      <c r="O577" s="6"/>
      <c r="P577" s="6"/>
      <c r="Q577" s="6"/>
      <c r="R577" s="6"/>
      <c r="S577" s="26"/>
      <c r="T577" s="26"/>
      <c r="U577" s="27"/>
      <c r="V577" s="6"/>
      <c r="W577" s="6"/>
      <c r="X577" s="6"/>
      <c r="Y577" s="6"/>
      <c r="Z577" s="6"/>
      <c r="AA577" s="6"/>
      <c r="AB577" s="6"/>
      <c r="AC577" s="6"/>
      <c r="AD577" s="6"/>
    </row>
    <row r="578">
      <c r="A578" s="6"/>
      <c r="B578" s="6"/>
      <c r="C578" s="6"/>
      <c r="D578" s="6"/>
      <c r="E578" s="6"/>
      <c r="F578" s="6"/>
      <c r="G578" s="6"/>
      <c r="H578" s="25"/>
      <c r="I578" s="25"/>
      <c r="J578" s="6"/>
      <c r="K578" s="6"/>
      <c r="L578" s="6"/>
      <c r="M578" s="6"/>
      <c r="N578" s="6"/>
      <c r="O578" s="6"/>
      <c r="P578" s="6"/>
      <c r="Q578" s="6"/>
      <c r="R578" s="6"/>
      <c r="S578" s="26"/>
      <c r="T578" s="26"/>
      <c r="U578" s="27"/>
      <c r="V578" s="6"/>
      <c r="W578" s="6"/>
      <c r="X578" s="6"/>
      <c r="Y578" s="6"/>
      <c r="Z578" s="6"/>
      <c r="AA578" s="6"/>
      <c r="AB578" s="6"/>
      <c r="AC578" s="6"/>
      <c r="AD578" s="6"/>
    </row>
    <row r="579">
      <c r="A579" s="6"/>
      <c r="B579" s="6"/>
      <c r="C579" s="6"/>
      <c r="D579" s="6"/>
      <c r="E579" s="6"/>
      <c r="F579" s="6"/>
      <c r="G579" s="6"/>
      <c r="H579" s="25"/>
      <c r="I579" s="25"/>
      <c r="J579" s="6"/>
      <c r="K579" s="6"/>
      <c r="L579" s="6"/>
      <c r="M579" s="6"/>
      <c r="N579" s="6"/>
      <c r="O579" s="6"/>
      <c r="P579" s="6"/>
      <c r="Q579" s="6"/>
      <c r="R579" s="6"/>
      <c r="S579" s="26"/>
      <c r="T579" s="26"/>
      <c r="U579" s="27"/>
      <c r="V579" s="6"/>
      <c r="W579" s="6"/>
      <c r="X579" s="6"/>
      <c r="Y579" s="6"/>
      <c r="Z579" s="6"/>
      <c r="AA579" s="6"/>
      <c r="AB579" s="6"/>
      <c r="AC579" s="6"/>
      <c r="AD579" s="6"/>
    </row>
    <row r="580">
      <c r="A580" s="6"/>
      <c r="B580" s="6"/>
      <c r="C580" s="6"/>
      <c r="D580" s="6"/>
      <c r="E580" s="6"/>
      <c r="F580" s="6"/>
      <c r="G580" s="6"/>
      <c r="H580" s="25"/>
      <c r="I580" s="25"/>
      <c r="J580" s="6"/>
      <c r="K580" s="6"/>
      <c r="L580" s="6"/>
      <c r="M580" s="6"/>
      <c r="N580" s="6"/>
      <c r="O580" s="6"/>
      <c r="P580" s="6"/>
      <c r="Q580" s="6"/>
      <c r="R580" s="6"/>
      <c r="S580" s="26"/>
      <c r="T580" s="26"/>
      <c r="U580" s="27"/>
      <c r="V580" s="6"/>
      <c r="W580" s="6"/>
      <c r="X580" s="6"/>
      <c r="Y580" s="6"/>
      <c r="Z580" s="6"/>
      <c r="AA580" s="6"/>
      <c r="AB580" s="6"/>
      <c r="AC580" s="6"/>
      <c r="AD580" s="6"/>
    </row>
    <row r="581">
      <c r="A581" s="6"/>
      <c r="B581" s="6"/>
      <c r="C581" s="6"/>
      <c r="D581" s="6"/>
      <c r="E581" s="6"/>
      <c r="F581" s="6"/>
      <c r="G581" s="6"/>
      <c r="H581" s="25"/>
      <c r="I581" s="25"/>
      <c r="J581" s="6"/>
      <c r="K581" s="6"/>
      <c r="L581" s="6"/>
      <c r="M581" s="6"/>
      <c r="N581" s="6"/>
      <c r="O581" s="6"/>
      <c r="P581" s="6"/>
      <c r="Q581" s="6"/>
      <c r="R581" s="6"/>
      <c r="S581" s="26"/>
      <c r="T581" s="26"/>
      <c r="U581" s="27"/>
      <c r="V581" s="6"/>
      <c r="W581" s="6"/>
      <c r="X581" s="6"/>
      <c r="Y581" s="6"/>
      <c r="Z581" s="6"/>
      <c r="AA581" s="6"/>
      <c r="AB581" s="6"/>
      <c r="AC581" s="6"/>
      <c r="AD581" s="6"/>
    </row>
    <row r="582">
      <c r="A582" s="6"/>
      <c r="B582" s="6"/>
      <c r="C582" s="6"/>
      <c r="D582" s="6"/>
      <c r="E582" s="6"/>
      <c r="F582" s="6"/>
      <c r="G582" s="6"/>
      <c r="H582" s="25"/>
      <c r="I582" s="25"/>
      <c r="J582" s="6"/>
      <c r="K582" s="6"/>
      <c r="L582" s="6"/>
      <c r="M582" s="6"/>
      <c r="N582" s="6"/>
      <c r="O582" s="6"/>
      <c r="P582" s="6"/>
      <c r="Q582" s="6"/>
      <c r="R582" s="6"/>
      <c r="S582" s="26"/>
      <c r="T582" s="26"/>
      <c r="U582" s="27"/>
      <c r="V582" s="6"/>
      <c r="W582" s="6"/>
      <c r="X582" s="6"/>
      <c r="Y582" s="6"/>
      <c r="Z582" s="6"/>
      <c r="AA582" s="6"/>
      <c r="AB582" s="6"/>
      <c r="AC582" s="6"/>
      <c r="AD582" s="6"/>
    </row>
    <row r="583">
      <c r="A583" s="6"/>
      <c r="B583" s="6"/>
      <c r="C583" s="6"/>
      <c r="D583" s="6"/>
      <c r="E583" s="6"/>
      <c r="F583" s="6"/>
      <c r="G583" s="6"/>
      <c r="H583" s="25"/>
      <c r="I583" s="25"/>
      <c r="J583" s="6"/>
      <c r="K583" s="6"/>
      <c r="L583" s="6"/>
      <c r="M583" s="6"/>
      <c r="N583" s="6"/>
      <c r="O583" s="6"/>
      <c r="P583" s="6"/>
      <c r="Q583" s="6"/>
      <c r="R583" s="6"/>
      <c r="S583" s="26"/>
      <c r="T583" s="26"/>
      <c r="U583" s="27"/>
      <c r="V583" s="6"/>
      <c r="W583" s="6"/>
      <c r="X583" s="6"/>
      <c r="Y583" s="6"/>
      <c r="Z583" s="6"/>
      <c r="AA583" s="6"/>
      <c r="AB583" s="6"/>
      <c r="AC583" s="6"/>
      <c r="AD583" s="6"/>
    </row>
    <row r="584">
      <c r="A584" s="6"/>
      <c r="B584" s="6"/>
      <c r="C584" s="6"/>
      <c r="D584" s="6"/>
      <c r="E584" s="6"/>
      <c r="F584" s="6"/>
      <c r="G584" s="6"/>
      <c r="H584" s="25"/>
      <c r="I584" s="25"/>
      <c r="J584" s="6"/>
      <c r="K584" s="6"/>
      <c r="L584" s="6"/>
      <c r="M584" s="6"/>
      <c r="N584" s="6"/>
      <c r="O584" s="6"/>
      <c r="P584" s="6"/>
      <c r="Q584" s="6"/>
      <c r="R584" s="6"/>
      <c r="S584" s="26"/>
      <c r="T584" s="26"/>
      <c r="U584" s="27"/>
      <c r="V584" s="6"/>
      <c r="W584" s="6"/>
      <c r="X584" s="6"/>
      <c r="Y584" s="6"/>
      <c r="Z584" s="6"/>
      <c r="AA584" s="6"/>
      <c r="AB584" s="6"/>
      <c r="AC584" s="6"/>
      <c r="AD584" s="6"/>
    </row>
    <row r="585">
      <c r="A585" s="6"/>
      <c r="B585" s="6"/>
      <c r="C585" s="6"/>
      <c r="D585" s="6"/>
      <c r="E585" s="6"/>
      <c r="F585" s="6"/>
      <c r="G585" s="6"/>
      <c r="H585" s="25"/>
      <c r="I585" s="25"/>
      <c r="J585" s="6"/>
      <c r="K585" s="6"/>
      <c r="L585" s="6"/>
      <c r="M585" s="6"/>
      <c r="N585" s="6"/>
      <c r="O585" s="6"/>
      <c r="P585" s="6"/>
      <c r="Q585" s="6"/>
      <c r="R585" s="6"/>
      <c r="S585" s="26"/>
      <c r="T585" s="26"/>
      <c r="U585" s="27"/>
      <c r="V585" s="6"/>
      <c r="W585" s="6"/>
      <c r="X585" s="6"/>
      <c r="Y585" s="6"/>
      <c r="Z585" s="6"/>
      <c r="AA585" s="6"/>
      <c r="AB585" s="6"/>
      <c r="AC585" s="6"/>
      <c r="AD585" s="6"/>
    </row>
    <row r="586">
      <c r="A586" s="6"/>
      <c r="B586" s="6"/>
      <c r="C586" s="6"/>
      <c r="D586" s="6"/>
      <c r="E586" s="6"/>
      <c r="F586" s="6"/>
      <c r="G586" s="6"/>
      <c r="H586" s="25"/>
      <c r="I586" s="25"/>
      <c r="J586" s="6"/>
      <c r="K586" s="6"/>
      <c r="L586" s="6"/>
      <c r="M586" s="6"/>
      <c r="N586" s="6"/>
      <c r="O586" s="6"/>
      <c r="P586" s="6"/>
      <c r="Q586" s="6"/>
      <c r="R586" s="6"/>
      <c r="S586" s="26"/>
      <c r="T586" s="26"/>
      <c r="U586" s="27"/>
      <c r="V586" s="6"/>
      <c r="W586" s="6"/>
      <c r="X586" s="6"/>
      <c r="Y586" s="6"/>
      <c r="Z586" s="6"/>
      <c r="AA586" s="6"/>
      <c r="AB586" s="6"/>
      <c r="AC586" s="6"/>
      <c r="AD586" s="6"/>
    </row>
    <row r="587">
      <c r="A587" s="6"/>
      <c r="B587" s="6"/>
      <c r="C587" s="6"/>
      <c r="D587" s="6"/>
      <c r="E587" s="6"/>
      <c r="F587" s="6"/>
      <c r="G587" s="6"/>
      <c r="H587" s="25"/>
      <c r="I587" s="25"/>
      <c r="J587" s="6"/>
      <c r="K587" s="6"/>
      <c r="L587" s="6"/>
      <c r="M587" s="6"/>
      <c r="N587" s="6"/>
      <c r="O587" s="6"/>
      <c r="P587" s="6"/>
      <c r="Q587" s="6"/>
      <c r="R587" s="6"/>
      <c r="S587" s="26"/>
      <c r="T587" s="26"/>
      <c r="U587" s="27"/>
      <c r="V587" s="6"/>
      <c r="W587" s="6"/>
      <c r="X587" s="6"/>
      <c r="Y587" s="6"/>
      <c r="Z587" s="6"/>
      <c r="AA587" s="6"/>
      <c r="AB587" s="6"/>
      <c r="AC587" s="6"/>
      <c r="AD587" s="6"/>
    </row>
    <row r="588">
      <c r="A588" s="6"/>
      <c r="B588" s="6"/>
      <c r="C588" s="6"/>
      <c r="D588" s="6"/>
      <c r="E588" s="6"/>
      <c r="F588" s="6"/>
      <c r="G588" s="6"/>
      <c r="H588" s="25"/>
      <c r="I588" s="25"/>
      <c r="J588" s="6"/>
      <c r="K588" s="6"/>
      <c r="L588" s="6"/>
      <c r="M588" s="6"/>
      <c r="N588" s="6"/>
      <c r="O588" s="6"/>
      <c r="P588" s="6"/>
      <c r="Q588" s="6"/>
      <c r="R588" s="6"/>
      <c r="S588" s="26"/>
      <c r="T588" s="26"/>
      <c r="U588" s="27"/>
      <c r="V588" s="6"/>
      <c r="W588" s="6"/>
      <c r="X588" s="6"/>
      <c r="Y588" s="6"/>
      <c r="Z588" s="6"/>
      <c r="AA588" s="6"/>
      <c r="AB588" s="6"/>
      <c r="AC588" s="6"/>
      <c r="AD588" s="6"/>
    </row>
    <row r="589">
      <c r="A589" s="6"/>
      <c r="B589" s="6"/>
      <c r="C589" s="6"/>
      <c r="D589" s="6"/>
      <c r="E589" s="6"/>
      <c r="F589" s="6"/>
      <c r="G589" s="6"/>
      <c r="H589" s="25"/>
      <c r="I589" s="25"/>
      <c r="J589" s="6"/>
      <c r="K589" s="6"/>
      <c r="L589" s="6"/>
      <c r="M589" s="6"/>
      <c r="N589" s="6"/>
      <c r="O589" s="6"/>
      <c r="P589" s="6"/>
      <c r="Q589" s="6"/>
      <c r="R589" s="6"/>
      <c r="S589" s="26"/>
      <c r="T589" s="26"/>
      <c r="U589" s="27"/>
      <c r="V589" s="6"/>
      <c r="W589" s="6"/>
      <c r="X589" s="6"/>
      <c r="Y589" s="6"/>
      <c r="Z589" s="6"/>
      <c r="AA589" s="6"/>
      <c r="AB589" s="6"/>
      <c r="AC589" s="6"/>
      <c r="AD589" s="6"/>
    </row>
    <row r="590">
      <c r="A590" s="6"/>
      <c r="B590" s="6"/>
      <c r="C590" s="6"/>
      <c r="D590" s="6"/>
      <c r="E590" s="6"/>
      <c r="F590" s="6"/>
      <c r="G590" s="6"/>
      <c r="H590" s="25"/>
      <c r="I590" s="25"/>
      <c r="J590" s="6"/>
      <c r="K590" s="6"/>
      <c r="L590" s="6"/>
      <c r="M590" s="6"/>
      <c r="N590" s="6"/>
      <c r="O590" s="6"/>
      <c r="P590" s="6"/>
      <c r="Q590" s="6"/>
      <c r="R590" s="6"/>
      <c r="S590" s="26"/>
      <c r="T590" s="26"/>
      <c r="U590" s="27"/>
      <c r="V590" s="6"/>
      <c r="W590" s="6"/>
      <c r="X590" s="6"/>
      <c r="Y590" s="6"/>
      <c r="Z590" s="6"/>
      <c r="AA590" s="6"/>
      <c r="AB590" s="6"/>
      <c r="AC590" s="6"/>
      <c r="AD590" s="6"/>
    </row>
    <row r="591">
      <c r="A591" s="6"/>
      <c r="B591" s="6"/>
      <c r="C591" s="6"/>
      <c r="D591" s="6"/>
      <c r="E591" s="6"/>
      <c r="F591" s="6"/>
      <c r="G591" s="6"/>
      <c r="H591" s="25"/>
      <c r="I591" s="25"/>
      <c r="J591" s="6"/>
      <c r="K591" s="6"/>
      <c r="L591" s="6"/>
      <c r="M591" s="6"/>
      <c r="N591" s="6"/>
      <c r="O591" s="6"/>
      <c r="P591" s="6"/>
      <c r="Q591" s="6"/>
      <c r="R591" s="6"/>
      <c r="S591" s="26"/>
      <c r="T591" s="26"/>
      <c r="U591" s="27"/>
      <c r="V591" s="6"/>
      <c r="W591" s="6"/>
      <c r="X591" s="6"/>
      <c r="Y591" s="6"/>
      <c r="Z591" s="6"/>
      <c r="AA591" s="6"/>
      <c r="AB591" s="6"/>
      <c r="AC591" s="6"/>
      <c r="AD591" s="6"/>
    </row>
    <row r="592">
      <c r="A592" s="6"/>
      <c r="B592" s="6"/>
      <c r="C592" s="6"/>
      <c r="D592" s="6"/>
      <c r="E592" s="6"/>
      <c r="F592" s="6"/>
      <c r="G592" s="6"/>
      <c r="H592" s="25"/>
      <c r="I592" s="25"/>
      <c r="J592" s="6"/>
      <c r="K592" s="6"/>
      <c r="L592" s="6"/>
      <c r="M592" s="6"/>
      <c r="N592" s="6"/>
      <c r="O592" s="6"/>
      <c r="P592" s="6"/>
      <c r="Q592" s="6"/>
      <c r="R592" s="6"/>
      <c r="S592" s="26"/>
      <c r="T592" s="26"/>
      <c r="U592" s="27"/>
      <c r="V592" s="6"/>
      <c r="W592" s="6"/>
      <c r="X592" s="6"/>
      <c r="Y592" s="6"/>
      <c r="Z592" s="6"/>
      <c r="AA592" s="6"/>
      <c r="AB592" s="6"/>
      <c r="AC592" s="6"/>
      <c r="AD592" s="6"/>
    </row>
    <row r="593">
      <c r="A593" s="6"/>
      <c r="B593" s="6"/>
      <c r="C593" s="6"/>
      <c r="D593" s="6"/>
      <c r="E593" s="6"/>
      <c r="F593" s="6"/>
      <c r="G593" s="6"/>
      <c r="H593" s="25"/>
      <c r="I593" s="25"/>
      <c r="J593" s="6"/>
      <c r="K593" s="6"/>
      <c r="L593" s="6"/>
      <c r="M593" s="6"/>
      <c r="N593" s="6"/>
      <c r="O593" s="6"/>
      <c r="P593" s="6"/>
      <c r="Q593" s="6"/>
      <c r="R593" s="6"/>
      <c r="S593" s="26"/>
      <c r="T593" s="26"/>
      <c r="U593" s="27"/>
      <c r="V593" s="6"/>
      <c r="W593" s="6"/>
      <c r="X593" s="6"/>
      <c r="Y593" s="6"/>
      <c r="Z593" s="6"/>
      <c r="AA593" s="6"/>
      <c r="AB593" s="6"/>
      <c r="AC593" s="6"/>
      <c r="AD593" s="6"/>
    </row>
    <row r="594">
      <c r="A594" s="6"/>
      <c r="B594" s="6"/>
      <c r="C594" s="6"/>
      <c r="D594" s="6"/>
      <c r="E594" s="6"/>
      <c r="F594" s="6"/>
      <c r="G594" s="6"/>
      <c r="H594" s="25"/>
      <c r="I594" s="25"/>
      <c r="J594" s="6"/>
      <c r="K594" s="6"/>
      <c r="L594" s="6"/>
      <c r="M594" s="6"/>
      <c r="N594" s="6"/>
      <c r="O594" s="6"/>
      <c r="P594" s="6"/>
      <c r="Q594" s="6"/>
      <c r="R594" s="6"/>
      <c r="S594" s="26"/>
      <c r="T594" s="26"/>
      <c r="U594" s="27"/>
      <c r="V594" s="6"/>
      <c r="W594" s="6"/>
      <c r="X594" s="6"/>
      <c r="Y594" s="6"/>
      <c r="Z594" s="6"/>
      <c r="AA594" s="6"/>
      <c r="AB594" s="6"/>
      <c r="AC594" s="6"/>
      <c r="AD594" s="6"/>
    </row>
    <row r="595">
      <c r="A595" s="6"/>
      <c r="B595" s="6"/>
      <c r="C595" s="6"/>
      <c r="D595" s="6"/>
      <c r="E595" s="6"/>
      <c r="F595" s="6"/>
      <c r="G595" s="6"/>
      <c r="H595" s="25"/>
      <c r="I595" s="25"/>
      <c r="J595" s="6"/>
      <c r="K595" s="6"/>
      <c r="L595" s="6"/>
      <c r="M595" s="6"/>
      <c r="N595" s="6"/>
      <c r="O595" s="6"/>
      <c r="P595" s="6"/>
      <c r="Q595" s="6"/>
      <c r="R595" s="6"/>
      <c r="S595" s="26"/>
      <c r="T595" s="26"/>
      <c r="U595" s="27"/>
      <c r="V595" s="6"/>
      <c r="W595" s="6"/>
      <c r="X595" s="6"/>
      <c r="Y595" s="6"/>
      <c r="Z595" s="6"/>
      <c r="AA595" s="6"/>
      <c r="AB595" s="6"/>
      <c r="AC595" s="6"/>
      <c r="AD595" s="6"/>
    </row>
    <row r="596">
      <c r="A596" s="6"/>
      <c r="B596" s="6"/>
      <c r="C596" s="6"/>
      <c r="D596" s="6"/>
      <c r="E596" s="6"/>
      <c r="F596" s="6"/>
      <c r="G596" s="6"/>
      <c r="H596" s="25"/>
      <c r="I596" s="25"/>
      <c r="J596" s="6"/>
      <c r="K596" s="6"/>
      <c r="L596" s="6"/>
      <c r="M596" s="6"/>
      <c r="N596" s="6"/>
      <c r="O596" s="6"/>
      <c r="P596" s="6"/>
      <c r="Q596" s="6"/>
      <c r="R596" s="6"/>
      <c r="S596" s="26"/>
      <c r="T596" s="26"/>
      <c r="U596" s="27"/>
      <c r="V596" s="6"/>
      <c r="W596" s="6"/>
      <c r="X596" s="6"/>
      <c r="Y596" s="6"/>
      <c r="Z596" s="6"/>
      <c r="AA596" s="6"/>
      <c r="AB596" s="6"/>
      <c r="AC596" s="6"/>
      <c r="AD596" s="6"/>
    </row>
    <row r="597">
      <c r="A597" s="6"/>
      <c r="B597" s="6"/>
      <c r="C597" s="6"/>
      <c r="D597" s="6"/>
      <c r="E597" s="6"/>
      <c r="F597" s="6"/>
      <c r="G597" s="6"/>
      <c r="H597" s="25"/>
      <c r="I597" s="25"/>
      <c r="J597" s="6"/>
      <c r="K597" s="6"/>
      <c r="L597" s="6"/>
      <c r="M597" s="6"/>
      <c r="N597" s="6"/>
      <c r="O597" s="6"/>
      <c r="P597" s="6"/>
      <c r="Q597" s="6"/>
      <c r="R597" s="6"/>
      <c r="S597" s="26"/>
      <c r="T597" s="26"/>
      <c r="U597" s="27"/>
      <c r="V597" s="6"/>
      <c r="W597" s="6"/>
      <c r="X597" s="6"/>
      <c r="Y597" s="6"/>
      <c r="Z597" s="6"/>
      <c r="AA597" s="6"/>
      <c r="AB597" s="6"/>
      <c r="AC597" s="6"/>
      <c r="AD597" s="6"/>
    </row>
    <row r="598">
      <c r="A598" s="6"/>
      <c r="B598" s="6"/>
      <c r="C598" s="6"/>
      <c r="D598" s="6"/>
      <c r="E598" s="6"/>
      <c r="F598" s="6"/>
      <c r="G598" s="6"/>
      <c r="H598" s="25"/>
      <c r="I598" s="25"/>
      <c r="J598" s="6"/>
      <c r="K598" s="6"/>
      <c r="L598" s="6"/>
      <c r="M598" s="6"/>
      <c r="N598" s="6"/>
      <c r="O598" s="6"/>
      <c r="P598" s="6"/>
      <c r="Q598" s="6"/>
      <c r="R598" s="6"/>
      <c r="S598" s="26"/>
      <c r="T598" s="26"/>
      <c r="U598" s="27"/>
      <c r="V598" s="6"/>
      <c r="W598" s="6"/>
      <c r="X598" s="6"/>
      <c r="Y598" s="6"/>
      <c r="Z598" s="6"/>
      <c r="AA598" s="6"/>
      <c r="AB598" s="6"/>
      <c r="AC598" s="6"/>
      <c r="AD598" s="6"/>
    </row>
    <row r="599">
      <c r="A599" s="6"/>
      <c r="B599" s="6"/>
      <c r="C599" s="6"/>
      <c r="D599" s="6"/>
      <c r="E599" s="6"/>
      <c r="F599" s="6"/>
      <c r="G599" s="6"/>
      <c r="H599" s="25"/>
      <c r="I599" s="25"/>
      <c r="J599" s="6"/>
      <c r="K599" s="6"/>
      <c r="L599" s="6"/>
      <c r="M599" s="6"/>
      <c r="N599" s="6"/>
      <c r="O599" s="6"/>
      <c r="P599" s="6"/>
      <c r="Q599" s="6"/>
      <c r="R599" s="6"/>
      <c r="S599" s="26"/>
      <c r="T599" s="26"/>
      <c r="U599" s="27"/>
      <c r="V599" s="6"/>
      <c r="W599" s="6"/>
      <c r="X599" s="6"/>
      <c r="Y599" s="6"/>
      <c r="Z599" s="6"/>
      <c r="AA599" s="6"/>
      <c r="AB599" s="6"/>
      <c r="AC599" s="6"/>
      <c r="AD599" s="6"/>
    </row>
    <row r="600">
      <c r="A600" s="6"/>
      <c r="B600" s="6"/>
      <c r="C600" s="6"/>
      <c r="D600" s="6"/>
      <c r="E600" s="6"/>
      <c r="F600" s="6"/>
      <c r="G600" s="6"/>
      <c r="H600" s="25"/>
      <c r="I600" s="25"/>
      <c r="J600" s="6"/>
      <c r="K600" s="6"/>
      <c r="L600" s="6"/>
      <c r="M600" s="6"/>
      <c r="N600" s="6"/>
      <c r="O600" s="6"/>
      <c r="P600" s="6"/>
      <c r="Q600" s="6"/>
      <c r="R600" s="6"/>
      <c r="S600" s="26"/>
      <c r="T600" s="26"/>
      <c r="U600" s="27"/>
      <c r="V600" s="6"/>
      <c r="W600" s="6"/>
      <c r="X600" s="6"/>
      <c r="Y600" s="6"/>
      <c r="Z600" s="6"/>
      <c r="AA600" s="6"/>
      <c r="AB600" s="6"/>
      <c r="AC600" s="6"/>
      <c r="AD600" s="6"/>
    </row>
    <row r="601">
      <c r="A601" s="6"/>
      <c r="B601" s="6"/>
      <c r="C601" s="6"/>
      <c r="D601" s="6"/>
      <c r="E601" s="6"/>
      <c r="F601" s="6"/>
      <c r="G601" s="6"/>
      <c r="H601" s="25"/>
      <c r="I601" s="25"/>
      <c r="J601" s="6"/>
      <c r="K601" s="6"/>
      <c r="L601" s="6"/>
      <c r="M601" s="6"/>
      <c r="N601" s="6"/>
      <c r="O601" s="6"/>
      <c r="P601" s="6"/>
      <c r="Q601" s="6"/>
      <c r="R601" s="6"/>
      <c r="S601" s="26"/>
      <c r="T601" s="26"/>
      <c r="U601" s="27"/>
      <c r="V601" s="6"/>
      <c r="W601" s="6"/>
      <c r="X601" s="6"/>
      <c r="Y601" s="6"/>
      <c r="Z601" s="6"/>
      <c r="AA601" s="6"/>
      <c r="AB601" s="6"/>
      <c r="AC601" s="6"/>
      <c r="AD601" s="6"/>
    </row>
    <row r="602">
      <c r="A602" s="6"/>
      <c r="B602" s="6"/>
      <c r="C602" s="6"/>
      <c r="D602" s="6"/>
      <c r="E602" s="6"/>
      <c r="F602" s="6"/>
      <c r="G602" s="6"/>
      <c r="H602" s="25"/>
      <c r="I602" s="25"/>
      <c r="J602" s="6"/>
      <c r="K602" s="6"/>
      <c r="L602" s="6"/>
      <c r="M602" s="6"/>
      <c r="N602" s="6"/>
      <c r="O602" s="6"/>
      <c r="P602" s="6"/>
      <c r="Q602" s="6"/>
      <c r="R602" s="6"/>
      <c r="S602" s="26"/>
      <c r="T602" s="26"/>
      <c r="U602" s="27"/>
      <c r="V602" s="6"/>
      <c r="W602" s="6"/>
      <c r="X602" s="6"/>
      <c r="Y602" s="6"/>
      <c r="Z602" s="6"/>
      <c r="AA602" s="6"/>
      <c r="AB602" s="6"/>
      <c r="AC602" s="6"/>
      <c r="AD602" s="6"/>
    </row>
    <row r="603">
      <c r="A603" s="6"/>
      <c r="B603" s="6"/>
      <c r="C603" s="6"/>
      <c r="D603" s="6"/>
      <c r="E603" s="6"/>
      <c r="F603" s="6"/>
      <c r="G603" s="6"/>
      <c r="H603" s="25"/>
      <c r="I603" s="25"/>
      <c r="J603" s="6"/>
      <c r="K603" s="6"/>
      <c r="L603" s="6"/>
      <c r="M603" s="6"/>
      <c r="N603" s="6"/>
      <c r="O603" s="6"/>
      <c r="P603" s="6"/>
      <c r="Q603" s="6"/>
      <c r="R603" s="6"/>
      <c r="S603" s="26"/>
      <c r="T603" s="26"/>
      <c r="U603" s="27"/>
      <c r="V603" s="6"/>
      <c r="W603" s="6"/>
      <c r="X603" s="6"/>
      <c r="Y603" s="6"/>
      <c r="Z603" s="6"/>
      <c r="AA603" s="6"/>
      <c r="AB603" s="6"/>
      <c r="AC603" s="6"/>
      <c r="AD603" s="6"/>
    </row>
    <row r="604">
      <c r="A604" s="6"/>
      <c r="B604" s="6"/>
      <c r="C604" s="6"/>
      <c r="D604" s="6"/>
      <c r="E604" s="6"/>
      <c r="F604" s="6"/>
      <c r="G604" s="6"/>
      <c r="H604" s="25"/>
      <c r="I604" s="25"/>
      <c r="J604" s="6"/>
      <c r="K604" s="6"/>
      <c r="L604" s="6"/>
      <c r="M604" s="6"/>
      <c r="N604" s="6"/>
      <c r="O604" s="6"/>
      <c r="P604" s="6"/>
      <c r="Q604" s="6"/>
      <c r="R604" s="6"/>
      <c r="S604" s="26"/>
      <c r="T604" s="26"/>
      <c r="U604" s="27"/>
      <c r="V604" s="6"/>
      <c r="W604" s="6"/>
      <c r="X604" s="6"/>
      <c r="Y604" s="6"/>
      <c r="Z604" s="6"/>
      <c r="AA604" s="6"/>
      <c r="AB604" s="6"/>
      <c r="AC604" s="6"/>
      <c r="AD604" s="6"/>
    </row>
    <row r="605">
      <c r="A605" s="6"/>
      <c r="B605" s="6"/>
      <c r="C605" s="6"/>
      <c r="D605" s="6"/>
      <c r="E605" s="6"/>
      <c r="F605" s="6"/>
      <c r="G605" s="6"/>
      <c r="H605" s="25"/>
      <c r="I605" s="25"/>
      <c r="J605" s="6"/>
      <c r="K605" s="6"/>
      <c r="L605" s="6"/>
      <c r="M605" s="6"/>
      <c r="N605" s="6"/>
      <c r="O605" s="6"/>
      <c r="P605" s="6"/>
      <c r="Q605" s="6"/>
      <c r="R605" s="6"/>
      <c r="S605" s="26"/>
      <c r="T605" s="26"/>
      <c r="U605" s="27"/>
      <c r="V605" s="6"/>
      <c r="W605" s="6"/>
      <c r="X605" s="6"/>
      <c r="Y605" s="6"/>
      <c r="Z605" s="6"/>
      <c r="AA605" s="6"/>
      <c r="AB605" s="6"/>
      <c r="AC605" s="6"/>
      <c r="AD605" s="6"/>
    </row>
    <row r="606">
      <c r="A606" s="6"/>
      <c r="B606" s="6"/>
      <c r="C606" s="6"/>
      <c r="D606" s="6"/>
      <c r="E606" s="6"/>
      <c r="F606" s="6"/>
      <c r="G606" s="6"/>
      <c r="H606" s="25"/>
      <c r="I606" s="25"/>
      <c r="J606" s="6"/>
      <c r="K606" s="6"/>
      <c r="L606" s="6"/>
      <c r="M606" s="6"/>
      <c r="N606" s="6"/>
      <c r="O606" s="6"/>
      <c r="P606" s="6"/>
      <c r="Q606" s="6"/>
      <c r="R606" s="6"/>
      <c r="S606" s="26"/>
      <c r="T606" s="26"/>
      <c r="U606" s="27"/>
      <c r="V606" s="6"/>
      <c r="W606" s="6"/>
      <c r="X606" s="6"/>
      <c r="Y606" s="6"/>
      <c r="Z606" s="6"/>
      <c r="AA606" s="6"/>
      <c r="AB606" s="6"/>
      <c r="AC606" s="6"/>
      <c r="AD606" s="6"/>
    </row>
    <row r="607">
      <c r="A607" s="6"/>
      <c r="B607" s="6"/>
      <c r="C607" s="6"/>
      <c r="D607" s="6"/>
      <c r="E607" s="6"/>
      <c r="F607" s="6"/>
      <c r="G607" s="6"/>
      <c r="H607" s="25"/>
      <c r="I607" s="25"/>
      <c r="J607" s="6"/>
      <c r="K607" s="6"/>
      <c r="L607" s="6"/>
      <c r="M607" s="6"/>
      <c r="N607" s="6"/>
      <c r="O607" s="6"/>
      <c r="P607" s="6"/>
      <c r="Q607" s="6"/>
      <c r="R607" s="6"/>
      <c r="S607" s="26"/>
      <c r="T607" s="26"/>
      <c r="U607" s="27"/>
      <c r="V607" s="6"/>
      <c r="W607" s="6"/>
      <c r="X607" s="6"/>
      <c r="Y607" s="6"/>
      <c r="Z607" s="6"/>
      <c r="AA607" s="6"/>
      <c r="AB607" s="6"/>
      <c r="AC607" s="6"/>
      <c r="AD607" s="6"/>
    </row>
    <row r="608">
      <c r="A608" s="6"/>
      <c r="B608" s="6"/>
      <c r="C608" s="6"/>
      <c r="D608" s="6"/>
      <c r="E608" s="6"/>
      <c r="F608" s="6"/>
      <c r="G608" s="6"/>
      <c r="H608" s="25"/>
      <c r="I608" s="25"/>
      <c r="J608" s="6"/>
      <c r="K608" s="6"/>
      <c r="L608" s="6"/>
      <c r="M608" s="6"/>
      <c r="N608" s="6"/>
      <c r="O608" s="6"/>
      <c r="P608" s="6"/>
      <c r="Q608" s="6"/>
      <c r="R608" s="6"/>
      <c r="S608" s="26"/>
      <c r="T608" s="26"/>
      <c r="U608" s="27"/>
      <c r="V608" s="6"/>
      <c r="W608" s="6"/>
      <c r="X608" s="6"/>
      <c r="Y608" s="6"/>
      <c r="Z608" s="6"/>
      <c r="AA608" s="6"/>
      <c r="AB608" s="6"/>
      <c r="AC608" s="6"/>
      <c r="AD608" s="6"/>
    </row>
    <row r="609">
      <c r="A609" s="6"/>
      <c r="B609" s="6"/>
      <c r="C609" s="6"/>
      <c r="D609" s="6"/>
      <c r="E609" s="6"/>
      <c r="F609" s="6"/>
      <c r="G609" s="6"/>
      <c r="H609" s="25"/>
      <c r="I609" s="25"/>
      <c r="J609" s="6"/>
      <c r="K609" s="6"/>
      <c r="L609" s="6"/>
      <c r="M609" s="6"/>
      <c r="N609" s="6"/>
      <c r="O609" s="6"/>
      <c r="P609" s="6"/>
      <c r="Q609" s="6"/>
      <c r="R609" s="6"/>
      <c r="S609" s="26"/>
      <c r="T609" s="26"/>
      <c r="U609" s="27"/>
      <c r="V609" s="6"/>
      <c r="W609" s="6"/>
      <c r="X609" s="6"/>
      <c r="Y609" s="6"/>
      <c r="Z609" s="6"/>
      <c r="AA609" s="6"/>
      <c r="AB609" s="6"/>
      <c r="AC609" s="6"/>
      <c r="AD609" s="6"/>
    </row>
    <row r="610">
      <c r="A610" s="6"/>
      <c r="B610" s="6"/>
      <c r="C610" s="6"/>
      <c r="D610" s="6"/>
      <c r="E610" s="6"/>
      <c r="F610" s="6"/>
      <c r="G610" s="6"/>
      <c r="H610" s="25"/>
      <c r="I610" s="25"/>
      <c r="J610" s="6"/>
      <c r="K610" s="6"/>
      <c r="L610" s="6"/>
      <c r="M610" s="6"/>
      <c r="N610" s="6"/>
      <c r="O610" s="6"/>
      <c r="P610" s="6"/>
      <c r="Q610" s="6"/>
      <c r="R610" s="6"/>
      <c r="S610" s="26"/>
      <c r="T610" s="26"/>
      <c r="U610" s="27"/>
      <c r="V610" s="6"/>
      <c r="W610" s="6"/>
      <c r="X610" s="6"/>
      <c r="Y610" s="6"/>
      <c r="Z610" s="6"/>
      <c r="AA610" s="6"/>
      <c r="AB610" s="6"/>
      <c r="AC610" s="6"/>
      <c r="AD610" s="6"/>
    </row>
    <row r="611">
      <c r="A611" s="6"/>
      <c r="B611" s="6"/>
      <c r="C611" s="6"/>
      <c r="D611" s="6"/>
      <c r="E611" s="6"/>
      <c r="F611" s="6"/>
      <c r="G611" s="6"/>
      <c r="H611" s="25"/>
      <c r="I611" s="25"/>
      <c r="J611" s="6"/>
      <c r="K611" s="6"/>
      <c r="L611" s="6"/>
      <c r="M611" s="6"/>
      <c r="N611" s="6"/>
      <c r="O611" s="6"/>
      <c r="P611" s="6"/>
      <c r="Q611" s="6"/>
      <c r="R611" s="6"/>
      <c r="S611" s="26"/>
      <c r="T611" s="26"/>
      <c r="U611" s="27"/>
      <c r="V611" s="6"/>
      <c r="W611" s="6"/>
      <c r="X611" s="6"/>
      <c r="Y611" s="6"/>
      <c r="Z611" s="6"/>
      <c r="AA611" s="6"/>
      <c r="AB611" s="6"/>
      <c r="AC611" s="6"/>
      <c r="AD611" s="6"/>
    </row>
    <row r="612">
      <c r="A612" s="6"/>
      <c r="B612" s="6"/>
      <c r="C612" s="6"/>
      <c r="D612" s="6"/>
      <c r="E612" s="6"/>
      <c r="F612" s="6"/>
      <c r="G612" s="6"/>
      <c r="H612" s="25"/>
      <c r="I612" s="25"/>
      <c r="J612" s="6"/>
      <c r="K612" s="6"/>
      <c r="L612" s="6"/>
      <c r="M612" s="6"/>
      <c r="N612" s="6"/>
      <c r="O612" s="6"/>
      <c r="P612" s="6"/>
      <c r="Q612" s="6"/>
      <c r="R612" s="6"/>
      <c r="S612" s="26"/>
      <c r="T612" s="26"/>
      <c r="U612" s="27"/>
      <c r="V612" s="6"/>
      <c r="W612" s="6"/>
      <c r="X612" s="6"/>
      <c r="Y612" s="6"/>
      <c r="Z612" s="6"/>
      <c r="AA612" s="6"/>
      <c r="AB612" s="6"/>
      <c r="AC612" s="6"/>
      <c r="AD612" s="6"/>
    </row>
    <row r="613">
      <c r="A613" s="6"/>
      <c r="B613" s="6"/>
      <c r="C613" s="6"/>
      <c r="D613" s="6"/>
      <c r="E613" s="6"/>
      <c r="F613" s="6"/>
      <c r="G613" s="6"/>
      <c r="H613" s="25"/>
      <c r="I613" s="25"/>
      <c r="J613" s="6"/>
      <c r="K613" s="6"/>
      <c r="L613" s="6"/>
      <c r="M613" s="6"/>
      <c r="N613" s="6"/>
      <c r="O613" s="6"/>
      <c r="P613" s="6"/>
      <c r="Q613" s="6"/>
      <c r="R613" s="6"/>
      <c r="S613" s="26"/>
      <c r="T613" s="26"/>
      <c r="U613" s="27"/>
      <c r="V613" s="6"/>
      <c r="W613" s="6"/>
      <c r="X613" s="6"/>
      <c r="Y613" s="6"/>
      <c r="Z613" s="6"/>
      <c r="AA613" s="6"/>
      <c r="AB613" s="6"/>
      <c r="AC613" s="6"/>
      <c r="AD613" s="6"/>
    </row>
    <row r="614">
      <c r="A614" s="6"/>
      <c r="B614" s="6"/>
      <c r="C614" s="6"/>
      <c r="D614" s="6"/>
      <c r="E614" s="6"/>
      <c r="F614" s="6"/>
      <c r="G614" s="6"/>
      <c r="H614" s="25"/>
      <c r="I614" s="25"/>
      <c r="J614" s="6"/>
      <c r="K614" s="6"/>
      <c r="L614" s="6"/>
      <c r="M614" s="6"/>
      <c r="N614" s="6"/>
      <c r="O614" s="6"/>
      <c r="P614" s="6"/>
      <c r="Q614" s="6"/>
      <c r="R614" s="6"/>
      <c r="S614" s="26"/>
      <c r="T614" s="26"/>
      <c r="U614" s="27"/>
      <c r="V614" s="6"/>
      <c r="W614" s="6"/>
      <c r="X614" s="6"/>
      <c r="Y614" s="6"/>
      <c r="Z614" s="6"/>
      <c r="AA614" s="6"/>
      <c r="AB614" s="6"/>
      <c r="AC614" s="6"/>
      <c r="AD614" s="6"/>
    </row>
    <row r="615">
      <c r="A615" s="6"/>
      <c r="B615" s="6"/>
      <c r="C615" s="6"/>
      <c r="D615" s="6"/>
      <c r="E615" s="6"/>
      <c r="F615" s="6"/>
      <c r="G615" s="6"/>
      <c r="H615" s="25"/>
      <c r="I615" s="25"/>
      <c r="J615" s="6"/>
      <c r="K615" s="6"/>
      <c r="L615" s="6"/>
      <c r="M615" s="6"/>
      <c r="N615" s="6"/>
      <c r="O615" s="6"/>
      <c r="P615" s="6"/>
      <c r="Q615" s="6"/>
      <c r="R615" s="6"/>
      <c r="S615" s="26"/>
      <c r="T615" s="26"/>
      <c r="U615" s="27"/>
      <c r="V615" s="6"/>
      <c r="W615" s="6"/>
      <c r="X615" s="6"/>
      <c r="Y615" s="6"/>
      <c r="Z615" s="6"/>
      <c r="AA615" s="6"/>
      <c r="AB615" s="6"/>
      <c r="AC615" s="6"/>
      <c r="AD615" s="6"/>
    </row>
    <row r="616">
      <c r="A616" s="6"/>
      <c r="B616" s="6"/>
      <c r="C616" s="6"/>
      <c r="D616" s="6"/>
      <c r="E616" s="6"/>
      <c r="F616" s="6"/>
      <c r="G616" s="6"/>
      <c r="H616" s="25"/>
      <c r="I616" s="25"/>
      <c r="J616" s="6"/>
      <c r="K616" s="6"/>
      <c r="L616" s="6"/>
      <c r="M616" s="6"/>
      <c r="N616" s="6"/>
      <c r="O616" s="6"/>
      <c r="P616" s="6"/>
      <c r="Q616" s="6"/>
      <c r="R616" s="6"/>
      <c r="S616" s="26"/>
      <c r="T616" s="26"/>
      <c r="U616" s="27"/>
      <c r="V616" s="6"/>
      <c r="W616" s="6"/>
      <c r="X616" s="6"/>
      <c r="Y616" s="6"/>
      <c r="Z616" s="6"/>
      <c r="AA616" s="6"/>
      <c r="AB616" s="6"/>
      <c r="AC616" s="6"/>
      <c r="AD616" s="6"/>
    </row>
    <row r="617">
      <c r="A617" s="6"/>
      <c r="B617" s="6"/>
      <c r="C617" s="6"/>
      <c r="D617" s="6"/>
      <c r="E617" s="6"/>
      <c r="F617" s="6"/>
      <c r="G617" s="6"/>
      <c r="H617" s="25"/>
      <c r="I617" s="25"/>
      <c r="J617" s="6"/>
      <c r="K617" s="6"/>
      <c r="L617" s="6"/>
      <c r="M617" s="6"/>
      <c r="N617" s="6"/>
      <c r="O617" s="6"/>
      <c r="P617" s="6"/>
      <c r="Q617" s="6"/>
      <c r="R617" s="6"/>
      <c r="S617" s="26"/>
      <c r="T617" s="26"/>
      <c r="U617" s="27"/>
      <c r="V617" s="6"/>
      <c r="W617" s="6"/>
      <c r="X617" s="6"/>
      <c r="Y617" s="6"/>
      <c r="Z617" s="6"/>
      <c r="AA617" s="6"/>
      <c r="AB617" s="6"/>
      <c r="AC617" s="6"/>
      <c r="AD617" s="6"/>
    </row>
    <row r="618">
      <c r="A618" s="6"/>
      <c r="B618" s="6"/>
      <c r="C618" s="6"/>
      <c r="D618" s="6"/>
      <c r="E618" s="6"/>
      <c r="F618" s="6"/>
      <c r="G618" s="6"/>
      <c r="H618" s="25"/>
      <c r="I618" s="25"/>
      <c r="J618" s="6"/>
      <c r="K618" s="6"/>
      <c r="L618" s="6"/>
      <c r="M618" s="6"/>
      <c r="N618" s="6"/>
      <c r="O618" s="6"/>
      <c r="P618" s="6"/>
      <c r="Q618" s="6"/>
      <c r="R618" s="6"/>
      <c r="S618" s="26"/>
      <c r="T618" s="26"/>
      <c r="U618" s="27"/>
      <c r="V618" s="6"/>
      <c r="W618" s="6"/>
      <c r="X618" s="6"/>
      <c r="Y618" s="6"/>
      <c r="Z618" s="6"/>
      <c r="AA618" s="6"/>
      <c r="AB618" s="6"/>
      <c r="AC618" s="6"/>
      <c r="AD618" s="6"/>
    </row>
    <row r="619">
      <c r="A619" s="6"/>
      <c r="B619" s="6"/>
      <c r="C619" s="6"/>
      <c r="D619" s="6"/>
      <c r="E619" s="6"/>
      <c r="F619" s="6"/>
      <c r="G619" s="6"/>
      <c r="H619" s="25"/>
      <c r="I619" s="25"/>
      <c r="J619" s="6"/>
      <c r="K619" s="6"/>
      <c r="L619" s="6"/>
      <c r="M619" s="6"/>
      <c r="N619" s="6"/>
      <c r="O619" s="6"/>
      <c r="P619" s="6"/>
      <c r="Q619" s="6"/>
      <c r="R619" s="6"/>
      <c r="S619" s="26"/>
      <c r="T619" s="26"/>
      <c r="U619" s="27"/>
      <c r="V619" s="6"/>
      <c r="W619" s="6"/>
      <c r="X619" s="6"/>
      <c r="Y619" s="6"/>
      <c r="Z619" s="6"/>
      <c r="AA619" s="6"/>
      <c r="AB619" s="6"/>
      <c r="AC619" s="6"/>
      <c r="AD619" s="6"/>
    </row>
    <row r="620">
      <c r="A620" s="6"/>
      <c r="B620" s="6"/>
      <c r="C620" s="6"/>
      <c r="D620" s="6"/>
      <c r="E620" s="6"/>
      <c r="F620" s="6"/>
      <c r="G620" s="6"/>
      <c r="H620" s="25"/>
      <c r="I620" s="25"/>
      <c r="J620" s="6"/>
      <c r="K620" s="6"/>
      <c r="L620" s="6"/>
      <c r="M620" s="6"/>
      <c r="N620" s="6"/>
      <c r="O620" s="6"/>
      <c r="P620" s="6"/>
      <c r="Q620" s="6"/>
      <c r="R620" s="6"/>
      <c r="S620" s="26"/>
      <c r="T620" s="26"/>
      <c r="U620" s="27"/>
      <c r="V620" s="6"/>
      <c r="W620" s="6"/>
      <c r="X620" s="6"/>
      <c r="Y620" s="6"/>
      <c r="Z620" s="6"/>
      <c r="AA620" s="6"/>
      <c r="AB620" s="6"/>
      <c r="AC620" s="6"/>
      <c r="AD620" s="6"/>
    </row>
    <row r="621">
      <c r="A621" s="6"/>
      <c r="B621" s="6"/>
      <c r="C621" s="6"/>
      <c r="D621" s="6"/>
      <c r="E621" s="6"/>
      <c r="F621" s="6"/>
      <c r="G621" s="6"/>
      <c r="H621" s="25"/>
      <c r="I621" s="25"/>
      <c r="J621" s="6"/>
      <c r="K621" s="6"/>
      <c r="L621" s="6"/>
      <c r="M621" s="6"/>
      <c r="N621" s="6"/>
      <c r="O621" s="6"/>
      <c r="P621" s="6"/>
      <c r="Q621" s="6"/>
      <c r="R621" s="6"/>
      <c r="S621" s="26"/>
      <c r="T621" s="26"/>
      <c r="U621" s="27"/>
      <c r="V621" s="6"/>
      <c r="W621" s="6"/>
      <c r="X621" s="6"/>
      <c r="Y621" s="6"/>
      <c r="Z621" s="6"/>
      <c r="AA621" s="6"/>
      <c r="AB621" s="6"/>
      <c r="AC621" s="6"/>
      <c r="AD621" s="6"/>
    </row>
    <row r="622">
      <c r="A622" s="6"/>
      <c r="B622" s="6"/>
      <c r="C622" s="6"/>
      <c r="D622" s="6"/>
      <c r="E622" s="6"/>
      <c r="F622" s="6"/>
      <c r="G622" s="6"/>
      <c r="H622" s="25"/>
      <c r="I622" s="25"/>
      <c r="J622" s="6"/>
      <c r="K622" s="6"/>
      <c r="L622" s="6"/>
      <c r="M622" s="6"/>
      <c r="N622" s="6"/>
      <c r="O622" s="6"/>
      <c r="P622" s="6"/>
      <c r="Q622" s="6"/>
      <c r="R622" s="6"/>
      <c r="S622" s="26"/>
      <c r="T622" s="26"/>
      <c r="U622" s="27"/>
      <c r="V622" s="6"/>
      <c r="W622" s="6"/>
      <c r="X622" s="6"/>
      <c r="Y622" s="6"/>
      <c r="Z622" s="6"/>
      <c r="AA622" s="6"/>
      <c r="AB622" s="6"/>
      <c r="AC622" s="6"/>
      <c r="AD622" s="6"/>
    </row>
    <row r="623">
      <c r="A623" s="6"/>
      <c r="B623" s="6"/>
      <c r="C623" s="6"/>
      <c r="D623" s="6"/>
      <c r="E623" s="6"/>
      <c r="F623" s="6"/>
      <c r="G623" s="6"/>
      <c r="H623" s="25"/>
      <c r="I623" s="25"/>
      <c r="J623" s="6"/>
      <c r="K623" s="6"/>
      <c r="L623" s="6"/>
      <c r="M623" s="6"/>
      <c r="N623" s="6"/>
      <c r="O623" s="6"/>
      <c r="P623" s="6"/>
      <c r="Q623" s="6"/>
      <c r="R623" s="6"/>
      <c r="S623" s="26"/>
      <c r="T623" s="26"/>
      <c r="U623" s="27"/>
      <c r="V623" s="6"/>
      <c r="W623" s="6"/>
      <c r="X623" s="6"/>
      <c r="Y623" s="6"/>
      <c r="Z623" s="6"/>
      <c r="AA623" s="6"/>
      <c r="AB623" s="6"/>
      <c r="AC623" s="6"/>
      <c r="AD623" s="6"/>
    </row>
    <row r="624">
      <c r="A624" s="6"/>
      <c r="B624" s="6"/>
      <c r="C624" s="6"/>
      <c r="D624" s="6"/>
      <c r="E624" s="6"/>
      <c r="F624" s="6"/>
      <c r="G624" s="6"/>
      <c r="H624" s="25"/>
      <c r="I624" s="25"/>
      <c r="J624" s="6"/>
      <c r="K624" s="6"/>
      <c r="L624" s="6"/>
      <c r="M624" s="6"/>
      <c r="N624" s="6"/>
      <c r="O624" s="6"/>
      <c r="P624" s="6"/>
      <c r="Q624" s="6"/>
      <c r="R624" s="6"/>
      <c r="S624" s="26"/>
      <c r="T624" s="26"/>
      <c r="U624" s="27"/>
      <c r="V624" s="6"/>
      <c r="W624" s="6"/>
      <c r="X624" s="6"/>
      <c r="Y624" s="6"/>
      <c r="Z624" s="6"/>
      <c r="AA624" s="6"/>
      <c r="AB624" s="6"/>
      <c r="AC624" s="6"/>
      <c r="AD624" s="6"/>
    </row>
    <row r="625">
      <c r="A625" s="6"/>
      <c r="B625" s="6"/>
      <c r="C625" s="6"/>
      <c r="D625" s="6"/>
      <c r="E625" s="6"/>
      <c r="F625" s="6"/>
      <c r="G625" s="6"/>
      <c r="H625" s="25"/>
      <c r="I625" s="25"/>
      <c r="J625" s="6"/>
      <c r="K625" s="6"/>
      <c r="L625" s="6"/>
      <c r="M625" s="6"/>
      <c r="N625" s="6"/>
      <c r="O625" s="6"/>
      <c r="P625" s="6"/>
      <c r="Q625" s="6"/>
      <c r="R625" s="6"/>
      <c r="S625" s="26"/>
      <c r="T625" s="26"/>
      <c r="U625" s="27"/>
      <c r="V625" s="6"/>
      <c r="W625" s="6"/>
      <c r="X625" s="6"/>
      <c r="Y625" s="6"/>
      <c r="Z625" s="6"/>
      <c r="AA625" s="6"/>
      <c r="AB625" s="6"/>
      <c r="AC625" s="6"/>
      <c r="AD625" s="6"/>
    </row>
    <row r="626">
      <c r="A626" s="6"/>
      <c r="B626" s="6"/>
      <c r="C626" s="6"/>
      <c r="D626" s="6"/>
      <c r="E626" s="6"/>
      <c r="F626" s="6"/>
      <c r="G626" s="6"/>
      <c r="H626" s="25"/>
      <c r="I626" s="25"/>
      <c r="J626" s="6"/>
      <c r="K626" s="6"/>
      <c r="L626" s="6"/>
      <c r="M626" s="6"/>
      <c r="N626" s="6"/>
      <c r="O626" s="6"/>
      <c r="P626" s="6"/>
      <c r="Q626" s="6"/>
      <c r="R626" s="6"/>
      <c r="S626" s="26"/>
      <c r="T626" s="26"/>
      <c r="U626" s="27"/>
      <c r="V626" s="6"/>
      <c r="W626" s="6"/>
      <c r="X626" s="6"/>
      <c r="Y626" s="6"/>
      <c r="Z626" s="6"/>
      <c r="AA626" s="6"/>
      <c r="AB626" s="6"/>
      <c r="AC626" s="6"/>
      <c r="AD626" s="6"/>
    </row>
    <row r="627">
      <c r="A627" s="6"/>
      <c r="B627" s="6"/>
      <c r="C627" s="6"/>
      <c r="D627" s="6"/>
      <c r="E627" s="6"/>
      <c r="F627" s="6"/>
      <c r="G627" s="6"/>
      <c r="H627" s="25"/>
      <c r="I627" s="25"/>
      <c r="J627" s="6"/>
      <c r="K627" s="6"/>
      <c r="L627" s="6"/>
      <c r="M627" s="6"/>
      <c r="N627" s="6"/>
      <c r="O627" s="6"/>
      <c r="P627" s="6"/>
      <c r="Q627" s="6"/>
      <c r="R627" s="6"/>
      <c r="S627" s="26"/>
      <c r="T627" s="26"/>
      <c r="U627" s="27"/>
      <c r="V627" s="6"/>
      <c r="W627" s="6"/>
      <c r="X627" s="6"/>
      <c r="Y627" s="6"/>
      <c r="Z627" s="6"/>
      <c r="AA627" s="6"/>
      <c r="AB627" s="6"/>
      <c r="AC627" s="6"/>
      <c r="AD627" s="6"/>
    </row>
    <row r="628">
      <c r="A628" s="6"/>
      <c r="B628" s="6"/>
      <c r="C628" s="6"/>
      <c r="D628" s="6"/>
      <c r="E628" s="6"/>
      <c r="F628" s="6"/>
      <c r="G628" s="6"/>
      <c r="H628" s="25"/>
      <c r="I628" s="25"/>
      <c r="J628" s="6"/>
      <c r="K628" s="6"/>
      <c r="L628" s="6"/>
      <c r="M628" s="6"/>
      <c r="N628" s="6"/>
      <c r="O628" s="6"/>
      <c r="P628" s="6"/>
      <c r="Q628" s="6"/>
      <c r="R628" s="6"/>
      <c r="S628" s="26"/>
      <c r="T628" s="26"/>
      <c r="U628" s="27"/>
      <c r="V628" s="6"/>
      <c r="W628" s="6"/>
      <c r="X628" s="6"/>
      <c r="Y628" s="6"/>
      <c r="Z628" s="6"/>
      <c r="AA628" s="6"/>
      <c r="AB628" s="6"/>
      <c r="AC628" s="6"/>
      <c r="AD628" s="6"/>
    </row>
    <row r="629">
      <c r="A629" s="6"/>
      <c r="B629" s="6"/>
      <c r="C629" s="6"/>
      <c r="D629" s="6"/>
      <c r="E629" s="6"/>
      <c r="F629" s="6"/>
      <c r="G629" s="6"/>
      <c r="H629" s="25"/>
      <c r="I629" s="25"/>
      <c r="J629" s="6"/>
      <c r="K629" s="6"/>
      <c r="L629" s="6"/>
      <c r="M629" s="6"/>
      <c r="N629" s="6"/>
      <c r="O629" s="6"/>
      <c r="P629" s="6"/>
      <c r="Q629" s="6"/>
      <c r="R629" s="6"/>
      <c r="S629" s="26"/>
      <c r="T629" s="26"/>
      <c r="U629" s="27"/>
      <c r="V629" s="6"/>
      <c r="W629" s="6"/>
      <c r="X629" s="6"/>
      <c r="Y629" s="6"/>
      <c r="Z629" s="6"/>
      <c r="AA629" s="6"/>
      <c r="AB629" s="6"/>
      <c r="AC629" s="6"/>
      <c r="AD629" s="6"/>
    </row>
    <row r="630">
      <c r="A630" s="6"/>
      <c r="B630" s="6"/>
      <c r="C630" s="6"/>
      <c r="D630" s="6"/>
      <c r="E630" s="6"/>
      <c r="F630" s="6"/>
      <c r="G630" s="6"/>
      <c r="H630" s="25"/>
      <c r="I630" s="25"/>
      <c r="J630" s="6"/>
      <c r="K630" s="6"/>
      <c r="L630" s="6"/>
      <c r="M630" s="6"/>
      <c r="N630" s="6"/>
      <c r="O630" s="6"/>
      <c r="P630" s="6"/>
      <c r="Q630" s="6"/>
      <c r="R630" s="6"/>
      <c r="S630" s="26"/>
      <c r="T630" s="26"/>
      <c r="U630" s="27"/>
      <c r="V630" s="6"/>
      <c r="W630" s="6"/>
      <c r="X630" s="6"/>
      <c r="Y630" s="6"/>
      <c r="Z630" s="6"/>
      <c r="AA630" s="6"/>
      <c r="AB630" s="6"/>
      <c r="AC630" s="6"/>
      <c r="AD630" s="6"/>
    </row>
    <row r="631">
      <c r="A631" s="6"/>
      <c r="B631" s="6"/>
      <c r="C631" s="6"/>
      <c r="D631" s="6"/>
      <c r="E631" s="6"/>
      <c r="F631" s="6"/>
      <c r="G631" s="6"/>
      <c r="H631" s="25"/>
      <c r="I631" s="25"/>
      <c r="J631" s="6"/>
      <c r="K631" s="6"/>
      <c r="L631" s="6"/>
      <c r="M631" s="6"/>
      <c r="N631" s="6"/>
      <c r="O631" s="6"/>
      <c r="P631" s="6"/>
      <c r="Q631" s="6"/>
      <c r="R631" s="6"/>
      <c r="S631" s="26"/>
      <c r="T631" s="26"/>
      <c r="U631" s="27"/>
      <c r="V631" s="6"/>
      <c r="W631" s="6"/>
      <c r="X631" s="6"/>
      <c r="Y631" s="6"/>
      <c r="Z631" s="6"/>
      <c r="AA631" s="6"/>
      <c r="AB631" s="6"/>
      <c r="AC631" s="6"/>
      <c r="AD631" s="6"/>
    </row>
    <row r="632">
      <c r="A632" s="6"/>
      <c r="B632" s="6"/>
      <c r="C632" s="6"/>
      <c r="D632" s="6"/>
      <c r="E632" s="6"/>
      <c r="F632" s="6"/>
      <c r="G632" s="6"/>
      <c r="H632" s="25"/>
      <c r="I632" s="25"/>
      <c r="J632" s="6"/>
      <c r="K632" s="6"/>
      <c r="L632" s="6"/>
      <c r="M632" s="6"/>
      <c r="N632" s="6"/>
      <c r="O632" s="6"/>
      <c r="P632" s="6"/>
      <c r="Q632" s="6"/>
      <c r="R632" s="6"/>
      <c r="S632" s="26"/>
      <c r="T632" s="26"/>
      <c r="U632" s="27"/>
      <c r="V632" s="6"/>
      <c r="W632" s="6"/>
      <c r="X632" s="6"/>
      <c r="Y632" s="6"/>
      <c r="Z632" s="6"/>
      <c r="AA632" s="6"/>
      <c r="AB632" s="6"/>
      <c r="AC632" s="6"/>
      <c r="AD632" s="6"/>
    </row>
    <row r="633">
      <c r="A633" s="6"/>
      <c r="B633" s="6"/>
      <c r="C633" s="6"/>
      <c r="D633" s="6"/>
      <c r="E633" s="6"/>
      <c r="F633" s="6"/>
      <c r="G633" s="6"/>
      <c r="H633" s="25"/>
      <c r="I633" s="25"/>
      <c r="J633" s="6"/>
      <c r="K633" s="6"/>
      <c r="L633" s="6"/>
      <c r="M633" s="6"/>
      <c r="N633" s="6"/>
      <c r="O633" s="6"/>
      <c r="P633" s="6"/>
      <c r="Q633" s="6"/>
      <c r="R633" s="6"/>
      <c r="S633" s="26"/>
      <c r="T633" s="26"/>
      <c r="U633" s="27"/>
      <c r="V633" s="6"/>
      <c r="W633" s="6"/>
      <c r="X633" s="6"/>
      <c r="Y633" s="6"/>
      <c r="Z633" s="6"/>
      <c r="AA633" s="6"/>
      <c r="AB633" s="6"/>
      <c r="AC633" s="6"/>
      <c r="AD633" s="6"/>
    </row>
    <row r="634">
      <c r="A634" s="6"/>
      <c r="B634" s="6"/>
      <c r="C634" s="6"/>
      <c r="D634" s="6"/>
      <c r="E634" s="6"/>
      <c r="F634" s="6"/>
      <c r="G634" s="6"/>
      <c r="H634" s="25"/>
      <c r="I634" s="25"/>
      <c r="J634" s="6"/>
      <c r="K634" s="6"/>
      <c r="L634" s="6"/>
      <c r="M634" s="6"/>
      <c r="N634" s="6"/>
      <c r="O634" s="6"/>
      <c r="P634" s="6"/>
      <c r="Q634" s="6"/>
      <c r="R634" s="6"/>
      <c r="S634" s="26"/>
      <c r="T634" s="26"/>
      <c r="U634" s="27"/>
      <c r="V634" s="6"/>
      <c r="W634" s="6"/>
      <c r="X634" s="6"/>
      <c r="Y634" s="6"/>
      <c r="Z634" s="6"/>
      <c r="AA634" s="6"/>
      <c r="AB634" s="6"/>
      <c r="AC634" s="6"/>
      <c r="AD634" s="6"/>
    </row>
    <row r="635">
      <c r="A635" s="6"/>
      <c r="B635" s="6"/>
      <c r="C635" s="6"/>
      <c r="D635" s="6"/>
      <c r="E635" s="6"/>
      <c r="F635" s="6"/>
      <c r="G635" s="6"/>
      <c r="H635" s="25"/>
      <c r="I635" s="25"/>
      <c r="J635" s="6"/>
      <c r="K635" s="6"/>
      <c r="L635" s="6"/>
      <c r="M635" s="6"/>
      <c r="N635" s="6"/>
      <c r="O635" s="6"/>
      <c r="P635" s="6"/>
      <c r="Q635" s="6"/>
      <c r="R635" s="6"/>
      <c r="S635" s="26"/>
      <c r="T635" s="26"/>
      <c r="U635" s="27"/>
      <c r="V635" s="6"/>
      <c r="W635" s="6"/>
      <c r="X635" s="6"/>
      <c r="Y635" s="6"/>
      <c r="Z635" s="6"/>
      <c r="AA635" s="6"/>
      <c r="AB635" s="6"/>
      <c r="AC635" s="6"/>
      <c r="AD635" s="6"/>
    </row>
    <row r="636">
      <c r="A636" s="6"/>
      <c r="B636" s="6"/>
      <c r="C636" s="6"/>
      <c r="D636" s="6"/>
      <c r="E636" s="6"/>
      <c r="F636" s="6"/>
      <c r="G636" s="6"/>
      <c r="H636" s="25"/>
      <c r="I636" s="25"/>
      <c r="J636" s="6"/>
      <c r="K636" s="6"/>
      <c r="L636" s="6"/>
      <c r="M636" s="6"/>
      <c r="N636" s="6"/>
      <c r="O636" s="6"/>
      <c r="P636" s="6"/>
      <c r="Q636" s="6"/>
      <c r="R636" s="6"/>
      <c r="S636" s="26"/>
      <c r="T636" s="26"/>
      <c r="U636" s="27"/>
      <c r="V636" s="6"/>
      <c r="W636" s="6"/>
      <c r="X636" s="6"/>
      <c r="Y636" s="6"/>
      <c r="Z636" s="6"/>
      <c r="AA636" s="6"/>
      <c r="AB636" s="6"/>
      <c r="AC636" s="6"/>
      <c r="AD636" s="6"/>
    </row>
    <row r="637">
      <c r="A637" s="6"/>
      <c r="B637" s="6"/>
      <c r="C637" s="6"/>
      <c r="D637" s="6"/>
      <c r="E637" s="6"/>
      <c r="F637" s="6"/>
      <c r="G637" s="6"/>
      <c r="H637" s="25"/>
      <c r="I637" s="25"/>
      <c r="J637" s="6"/>
      <c r="K637" s="6"/>
      <c r="L637" s="6"/>
      <c r="M637" s="6"/>
      <c r="N637" s="6"/>
      <c r="O637" s="6"/>
      <c r="P637" s="6"/>
      <c r="Q637" s="6"/>
      <c r="R637" s="6"/>
      <c r="S637" s="26"/>
      <c r="T637" s="26"/>
      <c r="U637" s="27"/>
      <c r="V637" s="6"/>
      <c r="W637" s="6"/>
      <c r="X637" s="6"/>
      <c r="Y637" s="6"/>
      <c r="Z637" s="6"/>
      <c r="AA637" s="6"/>
      <c r="AB637" s="6"/>
      <c r="AC637" s="6"/>
      <c r="AD637" s="6"/>
    </row>
    <row r="638">
      <c r="A638" s="6"/>
      <c r="B638" s="6"/>
      <c r="C638" s="6"/>
      <c r="D638" s="6"/>
      <c r="E638" s="6"/>
      <c r="F638" s="6"/>
      <c r="G638" s="6"/>
      <c r="H638" s="25"/>
      <c r="I638" s="25"/>
      <c r="J638" s="6"/>
      <c r="K638" s="6"/>
      <c r="L638" s="6"/>
      <c r="M638" s="6"/>
      <c r="N638" s="6"/>
      <c r="O638" s="6"/>
      <c r="P638" s="6"/>
      <c r="Q638" s="6"/>
      <c r="R638" s="6"/>
      <c r="S638" s="26"/>
      <c r="T638" s="26"/>
      <c r="U638" s="27"/>
      <c r="V638" s="6"/>
      <c r="W638" s="6"/>
      <c r="X638" s="6"/>
      <c r="Y638" s="6"/>
      <c r="Z638" s="6"/>
      <c r="AA638" s="6"/>
      <c r="AB638" s="6"/>
      <c r="AC638" s="6"/>
      <c r="AD638" s="6"/>
    </row>
    <row r="639">
      <c r="A639" s="6"/>
      <c r="B639" s="6"/>
      <c r="C639" s="6"/>
      <c r="D639" s="6"/>
      <c r="E639" s="6"/>
      <c r="F639" s="6"/>
      <c r="G639" s="6"/>
      <c r="H639" s="25"/>
      <c r="I639" s="25"/>
      <c r="J639" s="6"/>
      <c r="K639" s="6"/>
      <c r="L639" s="6"/>
      <c r="M639" s="6"/>
      <c r="N639" s="6"/>
      <c r="O639" s="6"/>
      <c r="P639" s="6"/>
      <c r="Q639" s="6"/>
      <c r="R639" s="6"/>
      <c r="S639" s="26"/>
      <c r="T639" s="26"/>
      <c r="U639" s="27"/>
      <c r="V639" s="6"/>
      <c r="W639" s="6"/>
      <c r="X639" s="6"/>
      <c r="Y639" s="6"/>
      <c r="Z639" s="6"/>
      <c r="AA639" s="6"/>
      <c r="AB639" s="6"/>
      <c r="AC639" s="6"/>
      <c r="AD639" s="6"/>
    </row>
    <row r="640">
      <c r="A640" s="6"/>
      <c r="B640" s="6"/>
      <c r="C640" s="6"/>
      <c r="D640" s="6"/>
      <c r="E640" s="6"/>
      <c r="F640" s="6"/>
      <c r="G640" s="6"/>
      <c r="H640" s="25"/>
      <c r="I640" s="25"/>
      <c r="J640" s="6"/>
      <c r="K640" s="6"/>
      <c r="L640" s="6"/>
      <c r="M640" s="6"/>
      <c r="N640" s="6"/>
      <c r="O640" s="6"/>
      <c r="P640" s="6"/>
      <c r="Q640" s="6"/>
      <c r="R640" s="6"/>
      <c r="S640" s="26"/>
      <c r="T640" s="26"/>
      <c r="U640" s="27"/>
      <c r="V640" s="6"/>
      <c r="W640" s="6"/>
      <c r="X640" s="6"/>
      <c r="Y640" s="6"/>
      <c r="Z640" s="6"/>
      <c r="AA640" s="6"/>
      <c r="AB640" s="6"/>
      <c r="AC640" s="6"/>
      <c r="AD640" s="6"/>
    </row>
    <row r="641">
      <c r="A641" s="6"/>
      <c r="B641" s="6"/>
      <c r="C641" s="6"/>
      <c r="D641" s="6"/>
      <c r="E641" s="6"/>
      <c r="F641" s="6"/>
      <c r="G641" s="6"/>
      <c r="H641" s="25"/>
      <c r="I641" s="25"/>
      <c r="J641" s="6"/>
      <c r="K641" s="6"/>
      <c r="L641" s="6"/>
      <c r="M641" s="6"/>
      <c r="N641" s="6"/>
      <c r="O641" s="6"/>
      <c r="P641" s="6"/>
      <c r="Q641" s="6"/>
      <c r="R641" s="6"/>
      <c r="S641" s="26"/>
      <c r="T641" s="26"/>
      <c r="U641" s="27"/>
      <c r="V641" s="6"/>
      <c r="W641" s="6"/>
      <c r="X641" s="6"/>
      <c r="Y641" s="6"/>
      <c r="Z641" s="6"/>
      <c r="AA641" s="6"/>
      <c r="AB641" s="6"/>
      <c r="AC641" s="6"/>
      <c r="AD641" s="6"/>
    </row>
    <row r="642">
      <c r="A642" s="6"/>
      <c r="B642" s="6"/>
      <c r="C642" s="6"/>
      <c r="D642" s="6"/>
      <c r="E642" s="6"/>
      <c r="F642" s="6"/>
      <c r="G642" s="6"/>
      <c r="H642" s="25"/>
      <c r="I642" s="25"/>
      <c r="J642" s="6"/>
      <c r="K642" s="6"/>
      <c r="L642" s="6"/>
      <c r="M642" s="6"/>
      <c r="N642" s="6"/>
      <c r="O642" s="6"/>
      <c r="P642" s="6"/>
      <c r="Q642" s="6"/>
      <c r="R642" s="6"/>
      <c r="S642" s="26"/>
      <c r="T642" s="26"/>
      <c r="U642" s="27"/>
      <c r="V642" s="6"/>
      <c r="W642" s="6"/>
      <c r="X642" s="6"/>
      <c r="Y642" s="6"/>
      <c r="Z642" s="6"/>
      <c r="AA642" s="6"/>
      <c r="AB642" s="6"/>
      <c r="AC642" s="6"/>
      <c r="AD642" s="6"/>
    </row>
    <row r="643">
      <c r="A643" s="6"/>
      <c r="B643" s="6"/>
      <c r="C643" s="6"/>
      <c r="D643" s="6"/>
      <c r="E643" s="6"/>
      <c r="F643" s="6"/>
      <c r="G643" s="6"/>
      <c r="H643" s="25"/>
      <c r="I643" s="25"/>
      <c r="J643" s="6"/>
      <c r="K643" s="6"/>
      <c r="L643" s="6"/>
      <c r="M643" s="6"/>
      <c r="N643" s="6"/>
      <c r="O643" s="6"/>
      <c r="P643" s="6"/>
      <c r="Q643" s="6"/>
      <c r="R643" s="6"/>
      <c r="S643" s="26"/>
      <c r="T643" s="26"/>
      <c r="U643" s="27"/>
      <c r="V643" s="6"/>
      <c r="W643" s="6"/>
      <c r="X643" s="6"/>
      <c r="Y643" s="6"/>
      <c r="Z643" s="6"/>
      <c r="AA643" s="6"/>
      <c r="AB643" s="6"/>
      <c r="AC643" s="6"/>
      <c r="AD643" s="6"/>
    </row>
    <row r="644">
      <c r="A644" s="6"/>
      <c r="B644" s="6"/>
      <c r="C644" s="6"/>
      <c r="D644" s="6"/>
      <c r="E644" s="6"/>
      <c r="F644" s="6"/>
      <c r="G644" s="6"/>
      <c r="H644" s="25"/>
      <c r="I644" s="25"/>
      <c r="J644" s="6"/>
      <c r="K644" s="6"/>
      <c r="L644" s="6"/>
      <c r="M644" s="6"/>
      <c r="N644" s="6"/>
      <c r="O644" s="6"/>
      <c r="P644" s="6"/>
      <c r="Q644" s="6"/>
      <c r="R644" s="6"/>
      <c r="S644" s="26"/>
      <c r="T644" s="26"/>
      <c r="U644" s="27"/>
      <c r="V644" s="6"/>
      <c r="W644" s="6"/>
      <c r="X644" s="6"/>
      <c r="Y644" s="6"/>
      <c r="Z644" s="6"/>
      <c r="AA644" s="6"/>
      <c r="AB644" s="6"/>
      <c r="AC644" s="6"/>
      <c r="AD644" s="6"/>
    </row>
    <row r="645">
      <c r="A645" s="6"/>
      <c r="B645" s="6"/>
      <c r="C645" s="6"/>
      <c r="D645" s="6"/>
      <c r="E645" s="6"/>
      <c r="F645" s="6"/>
      <c r="G645" s="6"/>
      <c r="H645" s="25"/>
      <c r="I645" s="25"/>
      <c r="J645" s="6"/>
      <c r="K645" s="6"/>
      <c r="L645" s="6"/>
      <c r="M645" s="6"/>
      <c r="N645" s="6"/>
      <c r="O645" s="6"/>
      <c r="P645" s="6"/>
      <c r="Q645" s="6"/>
      <c r="R645" s="6"/>
      <c r="S645" s="26"/>
      <c r="T645" s="26"/>
      <c r="U645" s="27"/>
      <c r="V645" s="6"/>
      <c r="W645" s="6"/>
      <c r="X645" s="6"/>
      <c r="Y645" s="6"/>
      <c r="Z645" s="6"/>
      <c r="AA645" s="6"/>
      <c r="AB645" s="6"/>
      <c r="AC645" s="6"/>
      <c r="AD645" s="6"/>
    </row>
    <row r="646">
      <c r="A646" s="6"/>
      <c r="B646" s="6"/>
      <c r="C646" s="6"/>
      <c r="D646" s="6"/>
      <c r="E646" s="6"/>
      <c r="F646" s="6"/>
      <c r="G646" s="6"/>
      <c r="H646" s="25"/>
      <c r="I646" s="25"/>
      <c r="J646" s="6"/>
      <c r="K646" s="6"/>
      <c r="L646" s="6"/>
      <c r="M646" s="6"/>
      <c r="N646" s="6"/>
      <c r="O646" s="6"/>
      <c r="P646" s="6"/>
      <c r="Q646" s="6"/>
      <c r="R646" s="6"/>
      <c r="S646" s="26"/>
      <c r="T646" s="26"/>
      <c r="U646" s="27"/>
      <c r="V646" s="6"/>
      <c r="W646" s="6"/>
      <c r="X646" s="6"/>
      <c r="Y646" s="6"/>
      <c r="Z646" s="6"/>
      <c r="AA646" s="6"/>
      <c r="AB646" s="6"/>
      <c r="AC646" s="6"/>
      <c r="AD646" s="6"/>
    </row>
    <row r="647">
      <c r="A647" s="6"/>
      <c r="B647" s="6"/>
      <c r="C647" s="6"/>
      <c r="D647" s="6"/>
      <c r="E647" s="6"/>
      <c r="F647" s="6"/>
      <c r="G647" s="6"/>
      <c r="H647" s="25"/>
      <c r="I647" s="25"/>
      <c r="J647" s="6"/>
      <c r="K647" s="6"/>
      <c r="L647" s="6"/>
      <c r="M647" s="6"/>
      <c r="N647" s="6"/>
      <c r="O647" s="6"/>
      <c r="P647" s="6"/>
      <c r="Q647" s="6"/>
      <c r="R647" s="6"/>
      <c r="S647" s="26"/>
      <c r="T647" s="26"/>
      <c r="U647" s="27"/>
      <c r="V647" s="6"/>
      <c r="W647" s="6"/>
      <c r="X647" s="6"/>
      <c r="Y647" s="6"/>
      <c r="Z647" s="6"/>
      <c r="AA647" s="6"/>
      <c r="AB647" s="6"/>
      <c r="AC647" s="6"/>
      <c r="AD647" s="6"/>
    </row>
    <row r="648">
      <c r="A648" s="6"/>
      <c r="B648" s="6"/>
      <c r="C648" s="6"/>
      <c r="D648" s="6"/>
      <c r="E648" s="6"/>
      <c r="F648" s="6"/>
      <c r="G648" s="6"/>
      <c r="H648" s="25"/>
      <c r="I648" s="25"/>
      <c r="J648" s="6"/>
      <c r="K648" s="6"/>
      <c r="L648" s="6"/>
      <c r="M648" s="6"/>
      <c r="N648" s="6"/>
      <c r="O648" s="6"/>
      <c r="P648" s="6"/>
      <c r="Q648" s="6"/>
      <c r="R648" s="6"/>
      <c r="S648" s="26"/>
      <c r="T648" s="26"/>
      <c r="U648" s="27"/>
      <c r="V648" s="6"/>
      <c r="W648" s="6"/>
      <c r="X648" s="6"/>
      <c r="Y648" s="6"/>
      <c r="Z648" s="6"/>
      <c r="AA648" s="6"/>
      <c r="AB648" s="6"/>
      <c r="AC648" s="6"/>
      <c r="AD648" s="6"/>
    </row>
    <row r="649">
      <c r="A649" s="6"/>
      <c r="B649" s="6"/>
      <c r="C649" s="6"/>
      <c r="D649" s="6"/>
      <c r="E649" s="6"/>
      <c r="F649" s="6"/>
      <c r="G649" s="6"/>
      <c r="H649" s="25"/>
      <c r="I649" s="25"/>
      <c r="J649" s="6"/>
      <c r="K649" s="6"/>
      <c r="L649" s="6"/>
      <c r="M649" s="6"/>
      <c r="N649" s="6"/>
      <c r="O649" s="6"/>
      <c r="P649" s="6"/>
      <c r="Q649" s="6"/>
      <c r="R649" s="6"/>
      <c r="S649" s="26"/>
      <c r="T649" s="26"/>
      <c r="U649" s="27"/>
      <c r="V649" s="6"/>
      <c r="W649" s="6"/>
      <c r="X649" s="6"/>
      <c r="Y649" s="6"/>
      <c r="Z649" s="6"/>
      <c r="AA649" s="6"/>
      <c r="AB649" s="6"/>
      <c r="AC649" s="6"/>
      <c r="AD649" s="6"/>
    </row>
    <row r="650">
      <c r="A650" s="6"/>
      <c r="B650" s="6"/>
      <c r="C650" s="6"/>
      <c r="D650" s="6"/>
      <c r="E650" s="6"/>
      <c r="F650" s="6"/>
      <c r="G650" s="6"/>
      <c r="H650" s="25"/>
      <c r="I650" s="25"/>
      <c r="J650" s="6"/>
      <c r="K650" s="6"/>
      <c r="L650" s="6"/>
      <c r="M650" s="6"/>
      <c r="N650" s="6"/>
      <c r="O650" s="6"/>
      <c r="P650" s="6"/>
      <c r="Q650" s="6"/>
      <c r="R650" s="6"/>
      <c r="S650" s="26"/>
      <c r="T650" s="26"/>
      <c r="U650" s="27"/>
      <c r="V650" s="6"/>
      <c r="W650" s="6"/>
      <c r="X650" s="6"/>
      <c r="Y650" s="6"/>
      <c r="Z650" s="6"/>
      <c r="AA650" s="6"/>
      <c r="AB650" s="6"/>
      <c r="AC650" s="6"/>
      <c r="AD650" s="6"/>
    </row>
    <row r="651">
      <c r="A651" s="6"/>
      <c r="B651" s="6"/>
      <c r="C651" s="6"/>
      <c r="D651" s="6"/>
      <c r="E651" s="6"/>
      <c r="F651" s="6"/>
      <c r="G651" s="6"/>
      <c r="H651" s="25"/>
      <c r="I651" s="25"/>
      <c r="J651" s="6"/>
      <c r="K651" s="6"/>
      <c r="L651" s="6"/>
      <c r="M651" s="6"/>
      <c r="N651" s="6"/>
      <c r="O651" s="6"/>
      <c r="P651" s="6"/>
      <c r="Q651" s="6"/>
      <c r="R651" s="6"/>
      <c r="S651" s="26"/>
      <c r="T651" s="26"/>
      <c r="U651" s="27"/>
      <c r="V651" s="6"/>
      <c r="W651" s="6"/>
      <c r="X651" s="6"/>
      <c r="Y651" s="6"/>
      <c r="Z651" s="6"/>
      <c r="AA651" s="6"/>
      <c r="AB651" s="6"/>
      <c r="AC651" s="6"/>
      <c r="AD651" s="6"/>
    </row>
    <row r="652">
      <c r="A652" s="6"/>
      <c r="B652" s="6"/>
      <c r="C652" s="6"/>
      <c r="D652" s="6"/>
      <c r="E652" s="6"/>
      <c r="F652" s="6"/>
      <c r="G652" s="6"/>
      <c r="H652" s="25"/>
      <c r="I652" s="25"/>
      <c r="J652" s="6"/>
      <c r="K652" s="6"/>
      <c r="L652" s="6"/>
      <c r="M652" s="6"/>
      <c r="N652" s="6"/>
      <c r="O652" s="6"/>
      <c r="P652" s="6"/>
      <c r="Q652" s="6"/>
      <c r="R652" s="6"/>
      <c r="S652" s="26"/>
      <c r="T652" s="26"/>
      <c r="U652" s="27"/>
      <c r="V652" s="6"/>
      <c r="W652" s="6"/>
      <c r="X652" s="6"/>
      <c r="Y652" s="6"/>
      <c r="Z652" s="6"/>
      <c r="AA652" s="6"/>
      <c r="AB652" s="6"/>
      <c r="AC652" s="6"/>
      <c r="AD652" s="6"/>
    </row>
    <row r="653">
      <c r="A653" s="6"/>
      <c r="B653" s="6"/>
      <c r="C653" s="6"/>
      <c r="D653" s="6"/>
      <c r="E653" s="6"/>
      <c r="F653" s="6"/>
      <c r="G653" s="6"/>
      <c r="H653" s="25"/>
      <c r="I653" s="25"/>
      <c r="J653" s="6"/>
      <c r="K653" s="6"/>
      <c r="L653" s="6"/>
      <c r="M653" s="6"/>
      <c r="N653" s="6"/>
      <c r="O653" s="6"/>
      <c r="P653" s="6"/>
      <c r="Q653" s="6"/>
      <c r="R653" s="6"/>
      <c r="S653" s="26"/>
      <c r="T653" s="26"/>
      <c r="U653" s="27"/>
      <c r="V653" s="6"/>
      <c r="W653" s="6"/>
      <c r="X653" s="6"/>
      <c r="Y653" s="6"/>
      <c r="Z653" s="6"/>
      <c r="AA653" s="6"/>
      <c r="AB653" s="6"/>
      <c r="AC653" s="6"/>
      <c r="AD653" s="6"/>
    </row>
    <row r="654">
      <c r="A654" s="6"/>
      <c r="B654" s="6"/>
      <c r="C654" s="6"/>
      <c r="D654" s="6"/>
      <c r="E654" s="6"/>
      <c r="F654" s="6"/>
      <c r="G654" s="6"/>
      <c r="H654" s="25"/>
      <c r="I654" s="25"/>
      <c r="J654" s="6"/>
      <c r="K654" s="6"/>
      <c r="L654" s="6"/>
      <c r="M654" s="6"/>
      <c r="N654" s="6"/>
      <c r="O654" s="6"/>
      <c r="P654" s="6"/>
      <c r="Q654" s="6"/>
      <c r="R654" s="6"/>
      <c r="S654" s="26"/>
      <c r="T654" s="26"/>
      <c r="U654" s="27"/>
      <c r="V654" s="6"/>
      <c r="W654" s="6"/>
      <c r="X654" s="6"/>
      <c r="Y654" s="6"/>
      <c r="Z654" s="6"/>
      <c r="AA654" s="6"/>
      <c r="AB654" s="6"/>
      <c r="AC654" s="6"/>
      <c r="AD654" s="6"/>
    </row>
    <row r="655">
      <c r="A655" s="6"/>
      <c r="B655" s="6"/>
      <c r="C655" s="6"/>
      <c r="D655" s="6"/>
      <c r="E655" s="6"/>
      <c r="F655" s="6"/>
      <c r="G655" s="6"/>
      <c r="H655" s="25"/>
      <c r="I655" s="25"/>
      <c r="J655" s="6"/>
      <c r="K655" s="6"/>
      <c r="L655" s="6"/>
      <c r="M655" s="6"/>
      <c r="N655" s="6"/>
      <c r="O655" s="6"/>
      <c r="P655" s="6"/>
      <c r="Q655" s="6"/>
      <c r="R655" s="6"/>
      <c r="S655" s="26"/>
      <c r="T655" s="26"/>
      <c r="U655" s="27"/>
      <c r="V655" s="6"/>
      <c r="W655" s="6"/>
      <c r="X655" s="6"/>
      <c r="Y655" s="6"/>
      <c r="Z655" s="6"/>
      <c r="AA655" s="6"/>
      <c r="AB655" s="6"/>
      <c r="AC655" s="6"/>
      <c r="AD655" s="6"/>
    </row>
    <row r="656">
      <c r="A656" s="6"/>
      <c r="B656" s="6"/>
      <c r="C656" s="6"/>
      <c r="D656" s="6"/>
      <c r="E656" s="6"/>
      <c r="F656" s="6"/>
      <c r="G656" s="6"/>
      <c r="H656" s="25"/>
      <c r="I656" s="25"/>
      <c r="J656" s="6"/>
      <c r="K656" s="6"/>
      <c r="L656" s="6"/>
      <c r="M656" s="6"/>
      <c r="N656" s="6"/>
      <c r="O656" s="6"/>
      <c r="P656" s="6"/>
      <c r="Q656" s="6"/>
      <c r="R656" s="6"/>
      <c r="S656" s="26"/>
      <c r="T656" s="26"/>
      <c r="U656" s="27"/>
      <c r="V656" s="6"/>
      <c r="W656" s="6"/>
      <c r="X656" s="6"/>
      <c r="Y656" s="6"/>
      <c r="Z656" s="6"/>
      <c r="AA656" s="6"/>
      <c r="AB656" s="6"/>
      <c r="AC656" s="6"/>
      <c r="AD656" s="6"/>
    </row>
    <row r="657">
      <c r="A657" s="6"/>
      <c r="B657" s="6"/>
      <c r="C657" s="6"/>
      <c r="D657" s="6"/>
      <c r="E657" s="6"/>
      <c r="F657" s="6"/>
      <c r="G657" s="6"/>
      <c r="H657" s="25"/>
      <c r="I657" s="25"/>
      <c r="J657" s="6"/>
      <c r="K657" s="6"/>
      <c r="L657" s="6"/>
      <c r="M657" s="6"/>
      <c r="N657" s="6"/>
      <c r="O657" s="6"/>
      <c r="P657" s="6"/>
      <c r="Q657" s="6"/>
      <c r="R657" s="6"/>
      <c r="S657" s="26"/>
      <c r="T657" s="26"/>
      <c r="U657" s="27"/>
      <c r="V657" s="6"/>
      <c r="W657" s="6"/>
      <c r="X657" s="6"/>
      <c r="Y657" s="6"/>
      <c r="Z657" s="6"/>
      <c r="AA657" s="6"/>
      <c r="AB657" s="6"/>
      <c r="AC657" s="6"/>
      <c r="AD657" s="6"/>
    </row>
    <row r="658">
      <c r="A658" s="6"/>
      <c r="B658" s="6"/>
      <c r="C658" s="6"/>
      <c r="D658" s="6"/>
      <c r="E658" s="6"/>
      <c r="F658" s="6"/>
      <c r="G658" s="6"/>
      <c r="H658" s="25"/>
      <c r="I658" s="25"/>
      <c r="J658" s="6"/>
      <c r="K658" s="6"/>
      <c r="L658" s="6"/>
      <c r="M658" s="6"/>
      <c r="N658" s="6"/>
      <c r="O658" s="6"/>
      <c r="P658" s="6"/>
      <c r="Q658" s="6"/>
      <c r="R658" s="6"/>
      <c r="S658" s="26"/>
      <c r="T658" s="26"/>
      <c r="U658" s="27"/>
      <c r="V658" s="6"/>
      <c r="W658" s="6"/>
      <c r="X658" s="6"/>
      <c r="Y658" s="6"/>
      <c r="Z658" s="6"/>
      <c r="AA658" s="6"/>
      <c r="AB658" s="6"/>
      <c r="AC658" s="6"/>
      <c r="AD658" s="6"/>
    </row>
    <row r="659">
      <c r="A659" s="6"/>
      <c r="B659" s="6"/>
      <c r="C659" s="6"/>
      <c r="D659" s="6"/>
      <c r="E659" s="6"/>
      <c r="F659" s="6"/>
      <c r="G659" s="6"/>
      <c r="H659" s="25"/>
      <c r="I659" s="25"/>
      <c r="J659" s="6"/>
      <c r="K659" s="6"/>
      <c r="L659" s="6"/>
      <c r="M659" s="6"/>
      <c r="N659" s="6"/>
      <c r="O659" s="6"/>
      <c r="P659" s="6"/>
      <c r="Q659" s="6"/>
      <c r="R659" s="6"/>
      <c r="S659" s="26"/>
      <c r="T659" s="26"/>
      <c r="U659" s="27"/>
      <c r="V659" s="6"/>
      <c r="W659" s="6"/>
      <c r="X659" s="6"/>
      <c r="Y659" s="6"/>
      <c r="Z659" s="6"/>
      <c r="AA659" s="6"/>
      <c r="AB659" s="6"/>
      <c r="AC659" s="6"/>
      <c r="AD659" s="6"/>
    </row>
    <row r="660">
      <c r="A660" s="6"/>
      <c r="B660" s="6"/>
      <c r="C660" s="6"/>
      <c r="D660" s="6"/>
      <c r="E660" s="6"/>
      <c r="F660" s="6"/>
      <c r="G660" s="6"/>
      <c r="H660" s="25"/>
      <c r="I660" s="25"/>
      <c r="J660" s="6"/>
      <c r="K660" s="6"/>
      <c r="L660" s="6"/>
      <c r="M660" s="6"/>
      <c r="N660" s="6"/>
      <c r="O660" s="6"/>
      <c r="P660" s="6"/>
      <c r="Q660" s="6"/>
      <c r="R660" s="6"/>
      <c r="S660" s="26"/>
      <c r="T660" s="26"/>
      <c r="U660" s="27"/>
      <c r="V660" s="6"/>
      <c r="W660" s="6"/>
      <c r="X660" s="6"/>
      <c r="Y660" s="6"/>
      <c r="Z660" s="6"/>
      <c r="AA660" s="6"/>
      <c r="AB660" s="6"/>
      <c r="AC660" s="6"/>
      <c r="AD660" s="6"/>
    </row>
    <row r="661">
      <c r="A661" s="6"/>
      <c r="B661" s="6"/>
      <c r="C661" s="6"/>
      <c r="D661" s="6"/>
      <c r="E661" s="6"/>
      <c r="F661" s="6"/>
      <c r="G661" s="6"/>
      <c r="H661" s="25"/>
      <c r="I661" s="25"/>
      <c r="J661" s="6"/>
      <c r="K661" s="6"/>
      <c r="L661" s="6"/>
      <c r="M661" s="6"/>
      <c r="N661" s="6"/>
      <c r="O661" s="6"/>
      <c r="P661" s="6"/>
      <c r="Q661" s="6"/>
      <c r="R661" s="6"/>
      <c r="S661" s="26"/>
      <c r="T661" s="26"/>
      <c r="U661" s="27"/>
      <c r="V661" s="6"/>
      <c r="W661" s="6"/>
      <c r="X661" s="6"/>
      <c r="Y661" s="6"/>
      <c r="Z661" s="6"/>
      <c r="AA661" s="6"/>
      <c r="AB661" s="6"/>
      <c r="AC661" s="6"/>
      <c r="AD661" s="6"/>
    </row>
    <row r="662">
      <c r="A662" s="6"/>
      <c r="B662" s="6"/>
      <c r="C662" s="6"/>
      <c r="D662" s="6"/>
      <c r="E662" s="6"/>
      <c r="F662" s="6"/>
      <c r="G662" s="6"/>
      <c r="H662" s="25"/>
      <c r="I662" s="25"/>
      <c r="J662" s="6"/>
      <c r="K662" s="6"/>
      <c r="L662" s="6"/>
      <c r="M662" s="6"/>
      <c r="N662" s="6"/>
      <c r="O662" s="6"/>
      <c r="P662" s="6"/>
      <c r="Q662" s="6"/>
      <c r="R662" s="6"/>
      <c r="S662" s="26"/>
      <c r="T662" s="26"/>
      <c r="U662" s="27"/>
      <c r="V662" s="6"/>
      <c r="W662" s="6"/>
      <c r="X662" s="6"/>
      <c r="Y662" s="6"/>
      <c r="Z662" s="6"/>
      <c r="AA662" s="6"/>
      <c r="AB662" s="6"/>
      <c r="AC662" s="6"/>
      <c r="AD662" s="6"/>
    </row>
    <row r="663">
      <c r="A663" s="6"/>
      <c r="B663" s="6"/>
      <c r="C663" s="6"/>
      <c r="D663" s="6"/>
      <c r="E663" s="6"/>
      <c r="F663" s="6"/>
      <c r="G663" s="6"/>
      <c r="H663" s="25"/>
      <c r="I663" s="25"/>
      <c r="J663" s="6"/>
      <c r="K663" s="6"/>
      <c r="L663" s="6"/>
      <c r="M663" s="6"/>
      <c r="N663" s="6"/>
      <c r="O663" s="6"/>
      <c r="P663" s="6"/>
      <c r="Q663" s="6"/>
      <c r="R663" s="6"/>
      <c r="S663" s="26"/>
      <c r="T663" s="26"/>
      <c r="U663" s="27"/>
      <c r="V663" s="6"/>
      <c r="W663" s="6"/>
      <c r="X663" s="6"/>
      <c r="Y663" s="6"/>
      <c r="Z663" s="6"/>
      <c r="AA663" s="6"/>
      <c r="AB663" s="6"/>
      <c r="AC663" s="6"/>
      <c r="AD663" s="6"/>
    </row>
    <row r="664">
      <c r="A664" s="6"/>
      <c r="B664" s="6"/>
      <c r="C664" s="6"/>
      <c r="D664" s="6"/>
      <c r="E664" s="6"/>
      <c r="F664" s="6"/>
      <c r="G664" s="6"/>
      <c r="H664" s="25"/>
      <c r="I664" s="25"/>
      <c r="J664" s="6"/>
      <c r="K664" s="6"/>
      <c r="L664" s="6"/>
      <c r="M664" s="6"/>
      <c r="N664" s="6"/>
      <c r="O664" s="6"/>
      <c r="P664" s="6"/>
      <c r="Q664" s="6"/>
      <c r="R664" s="6"/>
      <c r="S664" s="26"/>
      <c r="T664" s="26"/>
      <c r="U664" s="27"/>
      <c r="V664" s="6"/>
      <c r="W664" s="6"/>
      <c r="X664" s="6"/>
      <c r="Y664" s="6"/>
      <c r="Z664" s="6"/>
      <c r="AA664" s="6"/>
      <c r="AB664" s="6"/>
      <c r="AC664" s="6"/>
      <c r="AD664" s="6"/>
    </row>
    <row r="665">
      <c r="A665" s="6"/>
      <c r="B665" s="6"/>
      <c r="C665" s="6"/>
      <c r="D665" s="6"/>
      <c r="E665" s="6"/>
      <c r="F665" s="6"/>
      <c r="G665" s="6"/>
      <c r="H665" s="25"/>
      <c r="I665" s="25"/>
      <c r="J665" s="6"/>
      <c r="K665" s="6"/>
      <c r="L665" s="6"/>
      <c r="M665" s="6"/>
      <c r="N665" s="6"/>
      <c r="O665" s="6"/>
      <c r="P665" s="6"/>
      <c r="Q665" s="6"/>
      <c r="R665" s="6"/>
      <c r="S665" s="26"/>
      <c r="T665" s="26"/>
      <c r="U665" s="27"/>
      <c r="V665" s="6"/>
      <c r="W665" s="6"/>
      <c r="X665" s="6"/>
      <c r="Y665" s="6"/>
      <c r="Z665" s="6"/>
      <c r="AA665" s="6"/>
      <c r="AB665" s="6"/>
      <c r="AC665" s="6"/>
      <c r="AD665" s="6"/>
    </row>
    <row r="666">
      <c r="A666" s="6"/>
      <c r="B666" s="6"/>
      <c r="C666" s="6"/>
      <c r="D666" s="6"/>
      <c r="E666" s="6"/>
      <c r="F666" s="6"/>
      <c r="G666" s="6"/>
      <c r="H666" s="25"/>
      <c r="I666" s="25"/>
      <c r="J666" s="6"/>
      <c r="K666" s="6"/>
      <c r="L666" s="6"/>
      <c r="M666" s="6"/>
      <c r="N666" s="6"/>
      <c r="O666" s="6"/>
      <c r="P666" s="6"/>
      <c r="Q666" s="6"/>
      <c r="R666" s="6"/>
      <c r="S666" s="26"/>
      <c r="T666" s="26"/>
      <c r="U666" s="27"/>
      <c r="V666" s="6"/>
      <c r="W666" s="6"/>
      <c r="X666" s="6"/>
      <c r="Y666" s="6"/>
      <c r="Z666" s="6"/>
      <c r="AA666" s="6"/>
      <c r="AB666" s="6"/>
      <c r="AC666" s="6"/>
      <c r="AD666" s="6"/>
    </row>
    <row r="667">
      <c r="A667" s="6"/>
      <c r="B667" s="6"/>
      <c r="C667" s="6"/>
      <c r="D667" s="6"/>
      <c r="E667" s="6"/>
      <c r="F667" s="6"/>
      <c r="G667" s="6"/>
      <c r="H667" s="25"/>
      <c r="I667" s="25"/>
      <c r="J667" s="6"/>
      <c r="K667" s="6"/>
      <c r="L667" s="6"/>
      <c r="M667" s="6"/>
      <c r="N667" s="6"/>
      <c r="O667" s="6"/>
      <c r="P667" s="6"/>
      <c r="Q667" s="6"/>
      <c r="R667" s="6"/>
      <c r="S667" s="26"/>
      <c r="T667" s="26"/>
      <c r="U667" s="27"/>
      <c r="V667" s="6"/>
      <c r="W667" s="6"/>
      <c r="X667" s="6"/>
      <c r="Y667" s="6"/>
      <c r="Z667" s="6"/>
      <c r="AA667" s="6"/>
      <c r="AB667" s="6"/>
      <c r="AC667" s="6"/>
      <c r="AD667" s="6"/>
    </row>
    <row r="668">
      <c r="A668" s="6"/>
      <c r="B668" s="6"/>
      <c r="C668" s="6"/>
      <c r="D668" s="6"/>
      <c r="E668" s="6"/>
      <c r="F668" s="6"/>
      <c r="G668" s="6"/>
      <c r="H668" s="25"/>
      <c r="I668" s="25"/>
      <c r="J668" s="6"/>
      <c r="K668" s="6"/>
      <c r="L668" s="6"/>
      <c r="M668" s="6"/>
      <c r="N668" s="6"/>
      <c r="O668" s="6"/>
      <c r="P668" s="6"/>
      <c r="Q668" s="6"/>
      <c r="R668" s="6"/>
      <c r="S668" s="26"/>
      <c r="T668" s="26"/>
      <c r="U668" s="27"/>
      <c r="V668" s="6"/>
      <c r="W668" s="6"/>
      <c r="X668" s="6"/>
      <c r="Y668" s="6"/>
      <c r="Z668" s="6"/>
      <c r="AA668" s="6"/>
      <c r="AB668" s="6"/>
      <c r="AC668" s="6"/>
      <c r="AD668" s="6"/>
    </row>
    <row r="669">
      <c r="A669" s="6"/>
      <c r="B669" s="6"/>
      <c r="C669" s="6"/>
      <c r="D669" s="6"/>
      <c r="E669" s="6"/>
      <c r="F669" s="6"/>
      <c r="G669" s="6"/>
      <c r="H669" s="25"/>
      <c r="I669" s="25"/>
      <c r="J669" s="6"/>
      <c r="K669" s="6"/>
      <c r="L669" s="6"/>
      <c r="M669" s="6"/>
      <c r="N669" s="6"/>
      <c r="O669" s="6"/>
      <c r="P669" s="6"/>
      <c r="Q669" s="6"/>
      <c r="R669" s="6"/>
      <c r="S669" s="26"/>
      <c r="T669" s="26"/>
      <c r="U669" s="27"/>
      <c r="V669" s="6"/>
      <c r="W669" s="6"/>
      <c r="X669" s="6"/>
      <c r="Y669" s="6"/>
      <c r="Z669" s="6"/>
      <c r="AA669" s="6"/>
      <c r="AB669" s="6"/>
      <c r="AC669" s="6"/>
      <c r="AD669" s="6"/>
    </row>
    <row r="670">
      <c r="A670" s="6"/>
      <c r="B670" s="6"/>
      <c r="C670" s="6"/>
      <c r="D670" s="6"/>
      <c r="E670" s="6"/>
      <c r="F670" s="6"/>
      <c r="G670" s="6"/>
      <c r="H670" s="25"/>
      <c r="I670" s="25"/>
      <c r="J670" s="6"/>
      <c r="K670" s="6"/>
      <c r="L670" s="6"/>
      <c r="M670" s="6"/>
      <c r="N670" s="6"/>
      <c r="O670" s="6"/>
      <c r="P670" s="6"/>
      <c r="Q670" s="6"/>
      <c r="R670" s="6"/>
      <c r="S670" s="26"/>
      <c r="T670" s="26"/>
      <c r="U670" s="27"/>
      <c r="V670" s="6"/>
      <c r="W670" s="6"/>
      <c r="X670" s="6"/>
      <c r="Y670" s="6"/>
      <c r="Z670" s="6"/>
      <c r="AA670" s="6"/>
      <c r="AB670" s="6"/>
      <c r="AC670" s="6"/>
      <c r="AD670" s="6"/>
    </row>
    <row r="671">
      <c r="A671" s="6"/>
      <c r="B671" s="6"/>
      <c r="C671" s="6"/>
      <c r="D671" s="6"/>
      <c r="E671" s="6"/>
      <c r="F671" s="6"/>
      <c r="G671" s="6"/>
      <c r="H671" s="25"/>
      <c r="I671" s="25"/>
      <c r="J671" s="6"/>
      <c r="K671" s="6"/>
      <c r="L671" s="6"/>
      <c r="M671" s="6"/>
      <c r="N671" s="6"/>
      <c r="O671" s="6"/>
      <c r="P671" s="6"/>
      <c r="Q671" s="6"/>
      <c r="R671" s="6"/>
      <c r="S671" s="26"/>
      <c r="T671" s="26"/>
      <c r="U671" s="27"/>
      <c r="V671" s="6"/>
      <c r="W671" s="6"/>
      <c r="X671" s="6"/>
      <c r="Y671" s="6"/>
      <c r="Z671" s="6"/>
      <c r="AA671" s="6"/>
      <c r="AB671" s="6"/>
      <c r="AC671" s="6"/>
      <c r="AD671" s="6"/>
    </row>
    <row r="672">
      <c r="A672" s="6"/>
      <c r="B672" s="6"/>
      <c r="C672" s="6"/>
      <c r="D672" s="6"/>
      <c r="E672" s="6"/>
      <c r="F672" s="6"/>
      <c r="G672" s="6"/>
      <c r="H672" s="25"/>
      <c r="I672" s="25"/>
      <c r="J672" s="6"/>
      <c r="K672" s="6"/>
      <c r="L672" s="6"/>
      <c r="M672" s="6"/>
      <c r="N672" s="6"/>
      <c r="O672" s="6"/>
      <c r="P672" s="6"/>
      <c r="Q672" s="6"/>
      <c r="R672" s="6"/>
      <c r="S672" s="26"/>
      <c r="T672" s="26"/>
      <c r="U672" s="27"/>
      <c r="V672" s="6"/>
      <c r="W672" s="6"/>
      <c r="X672" s="6"/>
      <c r="Y672" s="6"/>
      <c r="Z672" s="6"/>
      <c r="AA672" s="6"/>
      <c r="AB672" s="6"/>
      <c r="AC672" s="6"/>
      <c r="AD672" s="6"/>
    </row>
    <row r="673">
      <c r="A673" s="6"/>
      <c r="B673" s="6"/>
      <c r="C673" s="6"/>
      <c r="D673" s="6"/>
      <c r="E673" s="6"/>
      <c r="F673" s="6"/>
      <c r="G673" s="6"/>
      <c r="H673" s="25"/>
      <c r="I673" s="25"/>
      <c r="J673" s="6"/>
      <c r="K673" s="6"/>
      <c r="L673" s="6"/>
      <c r="M673" s="6"/>
      <c r="N673" s="6"/>
      <c r="O673" s="6"/>
      <c r="P673" s="6"/>
      <c r="Q673" s="6"/>
      <c r="R673" s="6"/>
      <c r="S673" s="26"/>
      <c r="T673" s="26"/>
      <c r="U673" s="27"/>
      <c r="V673" s="6"/>
      <c r="W673" s="6"/>
      <c r="X673" s="6"/>
      <c r="Y673" s="6"/>
      <c r="Z673" s="6"/>
      <c r="AA673" s="6"/>
      <c r="AB673" s="6"/>
      <c r="AC673" s="6"/>
      <c r="AD673" s="6"/>
    </row>
    <row r="674">
      <c r="A674" s="6"/>
      <c r="B674" s="6"/>
      <c r="C674" s="6"/>
      <c r="D674" s="6"/>
      <c r="E674" s="6"/>
      <c r="F674" s="6"/>
      <c r="G674" s="6"/>
      <c r="H674" s="25"/>
      <c r="I674" s="25"/>
      <c r="J674" s="6"/>
      <c r="K674" s="6"/>
      <c r="L674" s="6"/>
      <c r="M674" s="6"/>
      <c r="N674" s="6"/>
      <c r="O674" s="6"/>
      <c r="P674" s="6"/>
      <c r="Q674" s="6"/>
      <c r="R674" s="6"/>
      <c r="S674" s="26"/>
      <c r="T674" s="26"/>
      <c r="U674" s="27"/>
      <c r="V674" s="6"/>
      <c r="W674" s="6"/>
      <c r="X674" s="6"/>
      <c r="Y674" s="6"/>
      <c r="Z674" s="6"/>
      <c r="AA674" s="6"/>
      <c r="AB674" s="6"/>
      <c r="AC674" s="6"/>
      <c r="AD674" s="6"/>
    </row>
    <row r="675">
      <c r="A675" s="6"/>
      <c r="B675" s="6"/>
      <c r="C675" s="6"/>
      <c r="D675" s="6"/>
      <c r="E675" s="6"/>
      <c r="F675" s="6"/>
      <c r="G675" s="6"/>
      <c r="H675" s="25"/>
      <c r="I675" s="25"/>
      <c r="J675" s="6"/>
      <c r="K675" s="6"/>
      <c r="L675" s="6"/>
      <c r="M675" s="6"/>
      <c r="N675" s="6"/>
      <c r="O675" s="6"/>
      <c r="P675" s="6"/>
      <c r="Q675" s="6"/>
      <c r="R675" s="6"/>
      <c r="S675" s="26"/>
      <c r="T675" s="26"/>
      <c r="U675" s="27"/>
      <c r="V675" s="6"/>
      <c r="W675" s="6"/>
      <c r="X675" s="6"/>
      <c r="Y675" s="6"/>
      <c r="Z675" s="6"/>
      <c r="AA675" s="6"/>
      <c r="AB675" s="6"/>
      <c r="AC675" s="6"/>
      <c r="AD675" s="6"/>
    </row>
    <row r="676">
      <c r="A676" s="6"/>
      <c r="B676" s="6"/>
      <c r="C676" s="6"/>
      <c r="D676" s="6"/>
      <c r="E676" s="6"/>
      <c r="F676" s="6"/>
      <c r="G676" s="6"/>
      <c r="H676" s="25"/>
      <c r="I676" s="25"/>
      <c r="J676" s="6"/>
      <c r="K676" s="6"/>
      <c r="L676" s="6"/>
      <c r="M676" s="6"/>
      <c r="N676" s="6"/>
      <c r="O676" s="6"/>
      <c r="P676" s="6"/>
      <c r="Q676" s="6"/>
      <c r="R676" s="6"/>
      <c r="S676" s="26"/>
      <c r="T676" s="26"/>
      <c r="U676" s="27"/>
      <c r="V676" s="6"/>
      <c r="W676" s="6"/>
      <c r="X676" s="6"/>
      <c r="Y676" s="6"/>
      <c r="Z676" s="6"/>
      <c r="AA676" s="6"/>
      <c r="AB676" s="6"/>
      <c r="AC676" s="6"/>
      <c r="AD676" s="6"/>
    </row>
    <row r="677">
      <c r="A677" s="6"/>
      <c r="B677" s="6"/>
      <c r="C677" s="6"/>
      <c r="D677" s="6"/>
      <c r="E677" s="6"/>
      <c r="F677" s="6"/>
      <c r="G677" s="6"/>
      <c r="H677" s="25"/>
      <c r="I677" s="25"/>
      <c r="J677" s="6"/>
      <c r="K677" s="6"/>
      <c r="L677" s="6"/>
      <c r="M677" s="6"/>
      <c r="N677" s="6"/>
      <c r="O677" s="6"/>
      <c r="P677" s="6"/>
      <c r="Q677" s="6"/>
      <c r="R677" s="6"/>
      <c r="S677" s="26"/>
      <c r="T677" s="26"/>
      <c r="U677" s="27"/>
      <c r="V677" s="6"/>
      <c r="W677" s="6"/>
      <c r="X677" s="6"/>
      <c r="Y677" s="6"/>
      <c r="Z677" s="6"/>
      <c r="AA677" s="6"/>
      <c r="AB677" s="6"/>
      <c r="AC677" s="6"/>
      <c r="AD677" s="6"/>
    </row>
    <row r="678">
      <c r="A678" s="6"/>
      <c r="B678" s="6"/>
      <c r="C678" s="6"/>
      <c r="D678" s="6"/>
      <c r="E678" s="6"/>
      <c r="F678" s="6"/>
      <c r="G678" s="6"/>
      <c r="H678" s="25"/>
      <c r="I678" s="25"/>
      <c r="J678" s="6"/>
      <c r="K678" s="6"/>
      <c r="L678" s="6"/>
      <c r="M678" s="6"/>
      <c r="N678" s="6"/>
      <c r="O678" s="6"/>
      <c r="P678" s="6"/>
      <c r="Q678" s="6"/>
      <c r="R678" s="6"/>
      <c r="S678" s="26"/>
      <c r="T678" s="26"/>
      <c r="U678" s="27"/>
      <c r="V678" s="6"/>
      <c r="W678" s="6"/>
      <c r="X678" s="6"/>
      <c r="Y678" s="6"/>
      <c r="Z678" s="6"/>
      <c r="AA678" s="6"/>
      <c r="AB678" s="6"/>
      <c r="AC678" s="6"/>
      <c r="AD678" s="6"/>
    </row>
    <row r="679">
      <c r="A679" s="6"/>
      <c r="B679" s="6"/>
      <c r="C679" s="6"/>
      <c r="D679" s="6"/>
      <c r="E679" s="6"/>
      <c r="F679" s="6"/>
      <c r="G679" s="6"/>
      <c r="H679" s="25"/>
      <c r="I679" s="25"/>
      <c r="J679" s="6"/>
      <c r="K679" s="6"/>
      <c r="L679" s="6"/>
      <c r="M679" s="6"/>
      <c r="N679" s="6"/>
      <c r="O679" s="6"/>
      <c r="P679" s="6"/>
      <c r="Q679" s="6"/>
      <c r="R679" s="6"/>
      <c r="S679" s="26"/>
      <c r="T679" s="26"/>
      <c r="U679" s="27"/>
      <c r="V679" s="6"/>
      <c r="W679" s="6"/>
      <c r="X679" s="6"/>
      <c r="Y679" s="6"/>
      <c r="Z679" s="6"/>
      <c r="AA679" s="6"/>
      <c r="AB679" s="6"/>
      <c r="AC679" s="6"/>
      <c r="AD679" s="6"/>
    </row>
    <row r="680">
      <c r="A680" s="6"/>
      <c r="B680" s="6"/>
      <c r="C680" s="6"/>
      <c r="D680" s="6"/>
      <c r="E680" s="6"/>
      <c r="F680" s="6"/>
      <c r="G680" s="6"/>
      <c r="H680" s="25"/>
      <c r="I680" s="25"/>
      <c r="J680" s="6"/>
      <c r="K680" s="6"/>
      <c r="L680" s="6"/>
      <c r="M680" s="6"/>
      <c r="N680" s="6"/>
      <c r="O680" s="6"/>
      <c r="P680" s="6"/>
      <c r="Q680" s="6"/>
      <c r="R680" s="6"/>
      <c r="S680" s="26"/>
      <c r="T680" s="26"/>
      <c r="U680" s="27"/>
      <c r="V680" s="6"/>
      <c r="W680" s="6"/>
      <c r="X680" s="6"/>
      <c r="Y680" s="6"/>
      <c r="Z680" s="6"/>
      <c r="AA680" s="6"/>
      <c r="AB680" s="6"/>
      <c r="AC680" s="6"/>
      <c r="AD680" s="6"/>
    </row>
    <row r="681">
      <c r="A681" s="6"/>
      <c r="B681" s="6"/>
      <c r="C681" s="6"/>
      <c r="D681" s="6"/>
      <c r="E681" s="6"/>
      <c r="F681" s="6"/>
      <c r="G681" s="6"/>
      <c r="H681" s="25"/>
      <c r="I681" s="25"/>
      <c r="J681" s="6"/>
      <c r="K681" s="6"/>
      <c r="L681" s="6"/>
      <c r="M681" s="6"/>
      <c r="N681" s="6"/>
      <c r="O681" s="6"/>
      <c r="P681" s="6"/>
      <c r="Q681" s="6"/>
      <c r="R681" s="6"/>
      <c r="S681" s="26"/>
      <c r="T681" s="26"/>
      <c r="U681" s="27"/>
      <c r="V681" s="6"/>
      <c r="W681" s="6"/>
      <c r="X681" s="6"/>
      <c r="Y681" s="6"/>
      <c r="Z681" s="6"/>
      <c r="AA681" s="6"/>
      <c r="AB681" s="6"/>
      <c r="AC681" s="6"/>
      <c r="AD681" s="6"/>
    </row>
    <row r="682">
      <c r="A682" s="6"/>
      <c r="B682" s="6"/>
      <c r="C682" s="6"/>
      <c r="D682" s="6"/>
      <c r="E682" s="6"/>
      <c r="F682" s="6"/>
      <c r="G682" s="6"/>
      <c r="H682" s="25"/>
      <c r="I682" s="25"/>
      <c r="J682" s="6"/>
      <c r="K682" s="6"/>
      <c r="L682" s="6"/>
      <c r="M682" s="6"/>
      <c r="N682" s="6"/>
      <c r="O682" s="6"/>
      <c r="P682" s="6"/>
      <c r="Q682" s="6"/>
      <c r="R682" s="6"/>
      <c r="S682" s="26"/>
      <c r="T682" s="26"/>
      <c r="U682" s="27"/>
      <c r="V682" s="6"/>
      <c r="W682" s="6"/>
      <c r="X682" s="6"/>
      <c r="Y682" s="6"/>
      <c r="Z682" s="6"/>
      <c r="AA682" s="6"/>
      <c r="AB682" s="6"/>
      <c r="AC682" s="6"/>
      <c r="AD682" s="6"/>
    </row>
    <row r="683">
      <c r="A683" s="6"/>
      <c r="B683" s="6"/>
      <c r="C683" s="6"/>
      <c r="D683" s="6"/>
      <c r="E683" s="6"/>
      <c r="F683" s="6"/>
      <c r="G683" s="6"/>
      <c r="H683" s="25"/>
      <c r="I683" s="25"/>
      <c r="J683" s="6"/>
      <c r="K683" s="6"/>
      <c r="L683" s="6"/>
      <c r="M683" s="6"/>
      <c r="N683" s="6"/>
      <c r="O683" s="6"/>
      <c r="P683" s="6"/>
      <c r="Q683" s="6"/>
      <c r="R683" s="6"/>
      <c r="S683" s="26"/>
      <c r="T683" s="26"/>
      <c r="U683" s="27"/>
      <c r="V683" s="6"/>
      <c r="W683" s="6"/>
      <c r="X683" s="6"/>
      <c r="Y683" s="6"/>
      <c r="Z683" s="6"/>
      <c r="AA683" s="6"/>
      <c r="AB683" s="6"/>
      <c r="AC683" s="6"/>
      <c r="AD683" s="6"/>
    </row>
    <row r="684">
      <c r="A684" s="6"/>
      <c r="B684" s="6"/>
      <c r="C684" s="6"/>
      <c r="D684" s="6"/>
      <c r="E684" s="6"/>
      <c r="F684" s="6"/>
      <c r="G684" s="6"/>
      <c r="H684" s="25"/>
      <c r="I684" s="25"/>
      <c r="J684" s="6"/>
      <c r="K684" s="6"/>
      <c r="L684" s="6"/>
      <c r="M684" s="6"/>
      <c r="N684" s="6"/>
      <c r="O684" s="6"/>
      <c r="P684" s="6"/>
      <c r="Q684" s="6"/>
      <c r="R684" s="6"/>
      <c r="S684" s="26"/>
      <c r="T684" s="26"/>
      <c r="U684" s="27"/>
      <c r="V684" s="6"/>
      <c r="W684" s="6"/>
      <c r="X684" s="6"/>
      <c r="Y684" s="6"/>
      <c r="Z684" s="6"/>
      <c r="AA684" s="6"/>
      <c r="AB684" s="6"/>
      <c r="AC684" s="6"/>
      <c r="AD684" s="6"/>
    </row>
    <row r="685">
      <c r="A685" s="6"/>
      <c r="B685" s="6"/>
      <c r="C685" s="6"/>
      <c r="D685" s="6"/>
      <c r="E685" s="6"/>
      <c r="F685" s="6"/>
      <c r="G685" s="6"/>
      <c r="H685" s="25"/>
      <c r="I685" s="25"/>
      <c r="J685" s="6"/>
      <c r="K685" s="6"/>
      <c r="L685" s="6"/>
      <c r="M685" s="6"/>
      <c r="N685" s="6"/>
      <c r="O685" s="6"/>
      <c r="P685" s="6"/>
      <c r="Q685" s="6"/>
      <c r="R685" s="6"/>
      <c r="S685" s="26"/>
      <c r="T685" s="26"/>
      <c r="U685" s="27"/>
      <c r="V685" s="6"/>
      <c r="W685" s="6"/>
      <c r="X685" s="6"/>
      <c r="Y685" s="6"/>
      <c r="Z685" s="6"/>
      <c r="AA685" s="6"/>
      <c r="AB685" s="6"/>
      <c r="AC685" s="6"/>
      <c r="AD685" s="6"/>
    </row>
    <row r="686">
      <c r="A686" s="6"/>
      <c r="B686" s="6"/>
      <c r="C686" s="6"/>
      <c r="D686" s="6"/>
      <c r="E686" s="6"/>
      <c r="F686" s="6"/>
      <c r="G686" s="6"/>
      <c r="H686" s="25"/>
      <c r="I686" s="25"/>
      <c r="J686" s="6"/>
      <c r="K686" s="6"/>
      <c r="L686" s="6"/>
      <c r="M686" s="6"/>
      <c r="N686" s="6"/>
      <c r="O686" s="6"/>
      <c r="P686" s="6"/>
      <c r="Q686" s="6"/>
      <c r="R686" s="6"/>
      <c r="S686" s="26"/>
      <c r="T686" s="26"/>
      <c r="U686" s="27"/>
      <c r="V686" s="6"/>
      <c r="W686" s="6"/>
      <c r="X686" s="6"/>
      <c r="Y686" s="6"/>
      <c r="Z686" s="6"/>
      <c r="AA686" s="6"/>
      <c r="AB686" s="6"/>
      <c r="AC686" s="6"/>
      <c r="AD686" s="6"/>
    </row>
    <row r="687">
      <c r="A687" s="6"/>
      <c r="B687" s="6"/>
      <c r="C687" s="6"/>
      <c r="D687" s="6"/>
      <c r="E687" s="6"/>
      <c r="F687" s="6"/>
      <c r="G687" s="6"/>
      <c r="H687" s="25"/>
      <c r="I687" s="25"/>
      <c r="J687" s="6"/>
      <c r="K687" s="6"/>
      <c r="L687" s="6"/>
      <c r="M687" s="6"/>
      <c r="N687" s="6"/>
      <c r="O687" s="6"/>
      <c r="P687" s="6"/>
      <c r="Q687" s="6"/>
      <c r="R687" s="6"/>
      <c r="S687" s="26"/>
      <c r="T687" s="26"/>
      <c r="U687" s="27"/>
      <c r="V687" s="6"/>
      <c r="W687" s="6"/>
      <c r="X687" s="6"/>
      <c r="Y687" s="6"/>
      <c r="Z687" s="6"/>
      <c r="AA687" s="6"/>
      <c r="AB687" s="6"/>
      <c r="AC687" s="6"/>
      <c r="AD687" s="6"/>
    </row>
    <row r="688">
      <c r="A688" s="6"/>
      <c r="B688" s="6"/>
      <c r="C688" s="6"/>
      <c r="D688" s="6"/>
      <c r="E688" s="6"/>
      <c r="F688" s="6"/>
      <c r="G688" s="6"/>
      <c r="H688" s="25"/>
      <c r="I688" s="25"/>
      <c r="J688" s="6"/>
      <c r="K688" s="6"/>
      <c r="L688" s="6"/>
      <c r="M688" s="6"/>
      <c r="N688" s="6"/>
      <c r="O688" s="6"/>
      <c r="P688" s="6"/>
      <c r="Q688" s="6"/>
      <c r="R688" s="6"/>
      <c r="S688" s="26"/>
      <c r="T688" s="26"/>
      <c r="U688" s="27"/>
      <c r="V688" s="6"/>
      <c r="W688" s="6"/>
      <c r="X688" s="6"/>
      <c r="Y688" s="6"/>
      <c r="Z688" s="6"/>
      <c r="AA688" s="6"/>
      <c r="AB688" s="6"/>
      <c r="AC688" s="6"/>
      <c r="AD688" s="6"/>
    </row>
    <row r="689">
      <c r="A689" s="6"/>
      <c r="B689" s="6"/>
      <c r="C689" s="6"/>
      <c r="D689" s="6"/>
      <c r="E689" s="6"/>
      <c r="F689" s="6"/>
      <c r="G689" s="6"/>
      <c r="H689" s="25"/>
      <c r="I689" s="25"/>
      <c r="J689" s="6"/>
      <c r="K689" s="6"/>
      <c r="L689" s="6"/>
      <c r="M689" s="6"/>
      <c r="N689" s="6"/>
      <c r="O689" s="6"/>
      <c r="P689" s="6"/>
      <c r="Q689" s="6"/>
      <c r="R689" s="6"/>
      <c r="S689" s="26"/>
      <c r="T689" s="26"/>
      <c r="U689" s="27"/>
      <c r="V689" s="6"/>
      <c r="W689" s="6"/>
      <c r="X689" s="6"/>
      <c r="Y689" s="6"/>
      <c r="Z689" s="6"/>
      <c r="AA689" s="6"/>
      <c r="AB689" s="6"/>
      <c r="AC689" s="6"/>
      <c r="AD689" s="6"/>
    </row>
    <row r="690">
      <c r="A690" s="6"/>
      <c r="B690" s="6"/>
      <c r="C690" s="6"/>
      <c r="D690" s="6"/>
      <c r="E690" s="6"/>
      <c r="F690" s="6"/>
      <c r="G690" s="6"/>
      <c r="H690" s="25"/>
      <c r="I690" s="25"/>
      <c r="J690" s="6"/>
      <c r="K690" s="6"/>
      <c r="L690" s="6"/>
      <c r="M690" s="6"/>
      <c r="N690" s="6"/>
      <c r="O690" s="6"/>
      <c r="P690" s="6"/>
      <c r="Q690" s="6"/>
      <c r="R690" s="6"/>
      <c r="S690" s="26"/>
      <c r="T690" s="26"/>
      <c r="U690" s="27"/>
      <c r="V690" s="6"/>
      <c r="W690" s="6"/>
      <c r="X690" s="6"/>
      <c r="Y690" s="6"/>
      <c r="Z690" s="6"/>
      <c r="AA690" s="6"/>
      <c r="AB690" s="6"/>
      <c r="AC690" s="6"/>
      <c r="AD690" s="6"/>
    </row>
    <row r="691">
      <c r="A691" s="6"/>
      <c r="B691" s="6"/>
      <c r="C691" s="6"/>
      <c r="D691" s="6"/>
      <c r="E691" s="6"/>
      <c r="F691" s="6"/>
      <c r="G691" s="6"/>
      <c r="H691" s="25"/>
      <c r="I691" s="25"/>
      <c r="J691" s="6"/>
      <c r="K691" s="6"/>
      <c r="L691" s="6"/>
      <c r="M691" s="6"/>
      <c r="N691" s="6"/>
      <c r="O691" s="6"/>
      <c r="P691" s="6"/>
      <c r="Q691" s="6"/>
      <c r="R691" s="6"/>
      <c r="S691" s="26"/>
      <c r="T691" s="26"/>
      <c r="U691" s="27"/>
      <c r="V691" s="6"/>
      <c r="W691" s="6"/>
      <c r="X691" s="6"/>
      <c r="Y691" s="6"/>
      <c r="Z691" s="6"/>
      <c r="AA691" s="6"/>
      <c r="AB691" s="6"/>
      <c r="AC691" s="6"/>
      <c r="AD691" s="6"/>
    </row>
    <row r="692">
      <c r="A692" s="6"/>
      <c r="B692" s="6"/>
      <c r="C692" s="6"/>
      <c r="D692" s="6"/>
      <c r="E692" s="6"/>
      <c r="F692" s="6"/>
      <c r="G692" s="6"/>
      <c r="H692" s="25"/>
      <c r="I692" s="25"/>
      <c r="J692" s="6"/>
      <c r="K692" s="6"/>
      <c r="L692" s="6"/>
      <c r="M692" s="6"/>
      <c r="N692" s="6"/>
      <c r="O692" s="6"/>
      <c r="P692" s="6"/>
      <c r="Q692" s="6"/>
      <c r="R692" s="6"/>
      <c r="S692" s="26"/>
      <c r="T692" s="26"/>
      <c r="U692" s="27"/>
      <c r="V692" s="6"/>
      <c r="W692" s="6"/>
      <c r="X692" s="6"/>
      <c r="Y692" s="6"/>
      <c r="Z692" s="6"/>
      <c r="AA692" s="6"/>
      <c r="AB692" s="6"/>
      <c r="AC692" s="6"/>
      <c r="AD692" s="6"/>
    </row>
    <row r="693">
      <c r="A693" s="6"/>
      <c r="B693" s="6"/>
      <c r="C693" s="6"/>
      <c r="D693" s="6"/>
      <c r="E693" s="6"/>
      <c r="F693" s="6"/>
      <c r="G693" s="6"/>
      <c r="H693" s="25"/>
      <c r="I693" s="25"/>
      <c r="J693" s="6"/>
      <c r="K693" s="6"/>
      <c r="L693" s="6"/>
      <c r="M693" s="6"/>
      <c r="N693" s="6"/>
      <c r="O693" s="6"/>
      <c r="P693" s="6"/>
      <c r="Q693" s="6"/>
      <c r="R693" s="6"/>
      <c r="S693" s="26"/>
      <c r="T693" s="26"/>
      <c r="U693" s="27"/>
      <c r="V693" s="6"/>
      <c r="W693" s="6"/>
      <c r="X693" s="6"/>
      <c r="Y693" s="6"/>
      <c r="Z693" s="6"/>
      <c r="AA693" s="6"/>
      <c r="AB693" s="6"/>
      <c r="AC693" s="6"/>
      <c r="AD693" s="6"/>
    </row>
    <row r="694">
      <c r="A694" s="6"/>
      <c r="B694" s="6"/>
      <c r="C694" s="6"/>
      <c r="D694" s="6"/>
      <c r="E694" s="6"/>
      <c r="F694" s="6"/>
      <c r="G694" s="6"/>
      <c r="H694" s="25"/>
      <c r="I694" s="25"/>
      <c r="J694" s="6"/>
      <c r="K694" s="6"/>
      <c r="L694" s="6"/>
      <c r="M694" s="6"/>
      <c r="N694" s="6"/>
      <c r="O694" s="6"/>
      <c r="P694" s="6"/>
      <c r="Q694" s="6"/>
      <c r="R694" s="6"/>
      <c r="S694" s="26"/>
      <c r="T694" s="26"/>
      <c r="U694" s="27"/>
      <c r="V694" s="6"/>
      <c r="W694" s="6"/>
      <c r="X694" s="6"/>
      <c r="Y694" s="6"/>
      <c r="Z694" s="6"/>
      <c r="AA694" s="6"/>
      <c r="AB694" s="6"/>
      <c r="AC694" s="6"/>
      <c r="AD694" s="6"/>
    </row>
    <row r="695">
      <c r="A695" s="6"/>
      <c r="B695" s="6"/>
      <c r="C695" s="6"/>
      <c r="D695" s="6"/>
      <c r="E695" s="6"/>
      <c r="F695" s="6"/>
      <c r="G695" s="6"/>
      <c r="H695" s="25"/>
      <c r="I695" s="25"/>
      <c r="J695" s="6"/>
      <c r="K695" s="6"/>
      <c r="L695" s="6"/>
      <c r="M695" s="6"/>
      <c r="N695" s="6"/>
      <c r="O695" s="6"/>
      <c r="P695" s="6"/>
      <c r="Q695" s="6"/>
      <c r="R695" s="6"/>
      <c r="S695" s="26"/>
      <c r="T695" s="26"/>
      <c r="U695" s="27"/>
      <c r="V695" s="6"/>
      <c r="W695" s="6"/>
      <c r="X695" s="6"/>
      <c r="Y695" s="6"/>
      <c r="Z695" s="6"/>
      <c r="AA695" s="6"/>
      <c r="AB695" s="6"/>
      <c r="AC695" s="6"/>
      <c r="AD695" s="6"/>
    </row>
    <row r="696">
      <c r="A696" s="6"/>
      <c r="B696" s="6"/>
      <c r="C696" s="6"/>
      <c r="D696" s="6"/>
      <c r="E696" s="6"/>
      <c r="F696" s="6"/>
      <c r="G696" s="6"/>
      <c r="H696" s="25"/>
      <c r="I696" s="25"/>
      <c r="J696" s="6"/>
      <c r="K696" s="6"/>
      <c r="L696" s="6"/>
      <c r="M696" s="6"/>
      <c r="N696" s="6"/>
      <c r="O696" s="6"/>
      <c r="P696" s="6"/>
      <c r="Q696" s="6"/>
      <c r="R696" s="6"/>
      <c r="S696" s="26"/>
      <c r="T696" s="26"/>
      <c r="U696" s="27"/>
      <c r="V696" s="6"/>
      <c r="W696" s="6"/>
      <c r="X696" s="6"/>
      <c r="Y696" s="6"/>
      <c r="Z696" s="6"/>
      <c r="AA696" s="6"/>
      <c r="AB696" s="6"/>
      <c r="AC696" s="6"/>
      <c r="AD696" s="6"/>
    </row>
    <row r="697">
      <c r="A697" s="6"/>
      <c r="B697" s="6"/>
      <c r="C697" s="6"/>
      <c r="D697" s="6"/>
      <c r="E697" s="6"/>
      <c r="F697" s="6"/>
      <c r="G697" s="6"/>
      <c r="H697" s="25"/>
      <c r="I697" s="25"/>
      <c r="J697" s="6"/>
      <c r="K697" s="6"/>
      <c r="L697" s="6"/>
      <c r="M697" s="6"/>
      <c r="N697" s="6"/>
      <c r="O697" s="6"/>
      <c r="P697" s="6"/>
      <c r="Q697" s="6"/>
      <c r="R697" s="6"/>
      <c r="S697" s="26"/>
      <c r="T697" s="26"/>
      <c r="U697" s="27"/>
      <c r="V697" s="6"/>
      <c r="W697" s="6"/>
      <c r="X697" s="6"/>
      <c r="Y697" s="6"/>
      <c r="Z697" s="6"/>
      <c r="AA697" s="6"/>
      <c r="AB697" s="6"/>
      <c r="AC697" s="6"/>
      <c r="AD697" s="6"/>
    </row>
    <row r="698">
      <c r="A698" s="6"/>
      <c r="B698" s="6"/>
      <c r="C698" s="6"/>
      <c r="D698" s="6"/>
      <c r="E698" s="6"/>
      <c r="F698" s="6"/>
      <c r="G698" s="6"/>
      <c r="H698" s="25"/>
      <c r="I698" s="25"/>
      <c r="J698" s="6"/>
      <c r="K698" s="6"/>
      <c r="L698" s="6"/>
      <c r="M698" s="6"/>
      <c r="N698" s="6"/>
      <c r="O698" s="6"/>
      <c r="P698" s="6"/>
      <c r="Q698" s="6"/>
      <c r="R698" s="6"/>
      <c r="S698" s="26"/>
      <c r="T698" s="26"/>
      <c r="U698" s="27"/>
      <c r="V698" s="6"/>
      <c r="W698" s="6"/>
      <c r="X698" s="6"/>
      <c r="Y698" s="6"/>
      <c r="Z698" s="6"/>
      <c r="AA698" s="6"/>
      <c r="AB698" s="6"/>
      <c r="AC698" s="6"/>
      <c r="AD698" s="6"/>
    </row>
    <row r="699">
      <c r="A699" s="6"/>
      <c r="B699" s="6"/>
      <c r="C699" s="6"/>
      <c r="D699" s="6"/>
      <c r="E699" s="6"/>
      <c r="F699" s="6"/>
      <c r="G699" s="6"/>
      <c r="H699" s="25"/>
      <c r="I699" s="25"/>
      <c r="J699" s="6"/>
      <c r="K699" s="6"/>
      <c r="L699" s="6"/>
      <c r="M699" s="6"/>
      <c r="N699" s="6"/>
      <c r="O699" s="6"/>
      <c r="P699" s="6"/>
      <c r="Q699" s="6"/>
      <c r="R699" s="6"/>
      <c r="S699" s="26"/>
      <c r="T699" s="26"/>
      <c r="U699" s="27"/>
      <c r="V699" s="6"/>
      <c r="W699" s="6"/>
      <c r="X699" s="6"/>
      <c r="Y699" s="6"/>
      <c r="Z699" s="6"/>
      <c r="AA699" s="6"/>
      <c r="AB699" s="6"/>
      <c r="AC699" s="6"/>
      <c r="AD699" s="6"/>
    </row>
    <row r="700">
      <c r="A700" s="6"/>
      <c r="B700" s="6"/>
      <c r="C700" s="6"/>
      <c r="D700" s="6"/>
      <c r="E700" s="6"/>
      <c r="F700" s="6"/>
      <c r="G700" s="6"/>
      <c r="H700" s="25"/>
      <c r="I700" s="25"/>
      <c r="J700" s="6"/>
      <c r="K700" s="6"/>
      <c r="L700" s="6"/>
      <c r="M700" s="6"/>
      <c r="N700" s="6"/>
      <c r="O700" s="6"/>
      <c r="P700" s="6"/>
      <c r="Q700" s="6"/>
      <c r="R700" s="6"/>
      <c r="S700" s="26"/>
      <c r="T700" s="26"/>
      <c r="U700" s="27"/>
      <c r="V700" s="6"/>
      <c r="W700" s="6"/>
      <c r="X700" s="6"/>
      <c r="Y700" s="6"/>
      <c r="Z700" s="6"/>
      <c r="AA700" s="6"/>
      <c r="AB700" s="6"/>
      <c r="AC700" s="6"/>
      <c r="AD700" s="6"/>
    </row>
    <row r="701">
      <c r="A701" s="6"/>
      <c r="B701" s="6"/>
      <c r="C701" s="6"/>
      <c r="D701" s="6"/>
      <c r="E701" s="6"/>
      <c r="F701" s="6"/>
      <c r="G701" s="6"/>
      <c r="H701" s="25"/>
      <c r="I701" s="25"/>
      <c r="J701" s="6"/>
      <c r="K701" s="6"/>
      <c r="L701" s="6"/>
      <c r="M701" s="6"/>
      <c r="N701" s="6"/>
      <c r="O701" s="6"/>
      <c r="P701" s="6"/>
      <c r="Q701" s="6"/>
      <c r="R701" s="6"/>
      <c r="S701" s="26"/>
      <c r="T701" s="26"/>
      <c r="U701" s="27"/>
      <c r="V701" s="6"/>
      <c r="W701" s="6"/>
      <c r="X701" s="6"/>
      <c r="Y701" s="6"/>
      <c r="Z701" s="6"/>
      <c r="AA701" s="6"/>
      <c r="AB701" s="6"/>
      <c r="AC701" s="6"/>
      <c r="AD701" s="6"/>
    </row>
    <row r="702">
      <c r="A702" s="6"/>
      <c r="B702" s="6"/>
      <c r="C702" s="6"/>
      <c r="D702" s="6"/>
      <c r="E702" s="6"/>
      <c r="F702" s="6"/>
      <c r="G702" s="6"/>
      <c r="H702" s="25"/>
      <c r="I702" s="25"/>
      <c r="J702" s="6"/>
      <c r="K702" s="6"/>
      <c r="L702" s="6"/>
      <c r="M702" s="6"/>
      <c r="N702" s="6"/>
      <c r="O702" s="6"/>
      <c r="P702" s="6"/>
      <c r="Q702" s="6"/>
      <c r="R702" s="6"/>
      <c r="S702" s="26"/>
      <c r="T702" s="26"/>
      <c r="U702" s="27"/>
      <c r="V702" s="6"/>
      <c r="W702" s="6"/>
      <c r="X702" s="6"/>
      <c r="Y702" s="6"/>
      <c r="Z702" s="6"/>
      <c r="AA702" s="6"/>
      <c r="AB702" s="6"/>
      <c r="AC702" s="6"/>
      <c r="AD702" s="6"/>
    </row>
    <row r="703">
      <c r="A703" s="6"/>
      <c r="B703" s="6"/>
      <c r="C703" s="6"/>
      <c r="D703" s="6"/>
      <c r="E703" s="6"/>
      <c r="F703" s="6"/>
      <c r="G703" s="6"/>
      <c r="H703" s="25"/>
      <c r="I703" s="25"/>
      <c r="J703" s="6"/>
      <c r="K703" s="6"/>
      <c r="L703" s="6"/>
      <c r="M703" s="6"/>
      <c r="N703" s="6"/>
      <c r="O703" s="6"/>
      <c r="P703" s="6"/>
      <c r="Q703" s="6"/>
      <c r="R703" s="6"/>
      <c r="S703" s="26"/>
      <c r="T703" s="26"/>
      <c r="U703" s="27"/>
      <c r="V703" s="6"/>
      <c r="W703" s="6"/>
      <c r="X703" s="6"/>
      <c r="Y703" s="6"/>
      <c r="Z703" s="6"/>
      <c r="AA703" s="6"/>
      <c r="AB703" s="6"/>
      <c r="AC703" s="6"/>
      <c r="AD703" s="6"/>
    </row>
    <row r="704">
      <c r="A704" s="6"/>
      <c r="B704" s="6"/>
      <c r="C704" s="6"/>
      <c r="D704" s="6"/>
      <c r="E704" s="6"/>
      <c r="F704" s="6"/>
      <c r="G704" s="6"/>
      <c r="H704" s="25"/>
      <c r="I704" s="25"/>
      <c r="J704" s="6"/>
      <c r="K704" s="6"/>
      <c r="L704" s="6"/>
      <c r="M704" s="6"/>
      <c r="N704" s="6"/>
      <c r="O704" s="6"/>
      <c r="P704" s="6"/>
      <c r="Q704" s="6"/>
      <c r="R704" s="6"/>
      <c r="S704" s="26"/>
      <c r="T704" s="26"/>
      <c r="U704" s="27"/>
      <c r="V704" s="6"/>
      <c r="W704" s="6"/>
      <c r="X704" s="6"/>
      <c r="Y704" s="6"/>
      <c r="Z704" s="6"/>
      <c r="AA704" s="6"/>
      <c r="AB704" s="6"/>
      <c r="AC704" s="6"/>
      <c r="AD704" s="6"/>
    </row>
    <row r="705">
      <c r="A705" s="6"/>
      <c r="B705" s="6"/>
      <c r="C705" s="6"/>
      <c r="D705" s="6"/>
      <c r="E705" s="6"/>
      <c r="F705" s="6"/>
      <c r="G705" s="6"/>
      <c r="H705" s="25"/>
      <c r="I705" s="25"/>
      <c r="J705" s="6"/>
      <c r="K705" s="6"/>
      <c r="L705" s="6"/>
      <c r="M705" s="6"/>
      <c r="N705" s="6"/>
      <c r="O705" s="6"/>
      <c r="P705" s="6"/>
      <c r="Q705" s="6"/>
      <c r="R705" s="6"/>
      <c r="S705" s="26"/>
      <c r="T705" s="26"/>
      <c r="U705" s="27"/>
      <c r="V705" s="6"/>
      <c r="W705" s="6"/>
      <c r="X705" s="6"/>
      <c r="Y705" s="6"/>
      <c r="Z705" s="6"/>
      <c r="AA705" s="6"/>
      <c r="AB705" s="6"/>
      <c r="AC705" s="6"/>
      <c r="AD705" s="6"/>
    </row>
    <row r="706">
      <c r="A706" s="6"/>
      <c r="B706" s="6"/>
      <c r="C706" s="6"/>
      <c r="D706" s="6"/>
      <c r="E706" s="6"/>
      <c r="F706" s="6"/>
      <c r="G706" s="6"/>
      <c r="H706" s="25"/>
      <c r="I706" s="25"/>
      <c r="J706" s="6"/>
      <c r="K706" s="6"/>
      <c r="L706" s="6"/>
      <c r="M706" s="6"/>
      <c r="N706" s="6"/>
      <c r="O706" s="6"/>
      <c r="P706" s="6"/>
      <c r="Q706" s="6"/>
      <c r="R706" s="6"/>
      <c r="S706" s="26"/>
      <c r="T706" s="26"/>
      <c r="U706" s="27"/>
      <c r="V706" s="6"/>
      <c r="W706" s="6"/>
      <c r="X706" s="6"/>
      <c r="Y706" s="6"/>
      <c r="Z706" s="6"/>
      <c r="AA706" s="6"/>
      <c r="AB706" s="6"/>
      <c r="AC706" s="6"/>
      <c r="AD706" s="6"/>
    </row>
    <row r="707">
      <c r="A707" s="6"/>
      <c r="B707" s="6"/>
      <c r="C707" s="6"/>
      <c r="D707" s="6"/>
      <c r="E707" s="6"/>
      <c r="F707" s="6"/>
      <c r="G707" s="6"/>
      <c r="H707" s="25"/>
      <c r="I707" s="25"/>
      <c r="J707" s="6"/>
      <c r="K707" s="6"/>
      <c r="L707" s="6"/>
      <c r="M707" s="6"/>
      <c r="N707" s="6"/>
      <c r="O707" s="6"/>
      <c r="P707" s="6"/>
      <c r="Q707" s="6"/>
      <c r="R707" s="6"/>
      <c r="S707" s="26"/>
      <c r="T707" s="26"/>
      <c r="U707" s="27"/>
      <c r="V707" s="6"/>
      <c r="W707" s="6"/>
      <c r="X707" s="6"/>
      <c r="Y707" s="6"/>
      <c r="Z707" s="6"/>
      <c r="AA707" s="6"/>
      <c r="AB707" s="6"/>
      <c r="AC707" s="6"/>
      <c r="AD707" s="6"/>
    </row>
    <row r="708">
      <c r="A708" s="6"/>
      <c r="B708" s="6"/>
      <c r="C708" s="6"/>
      <c r="D708" s="6"/>
      <c r="E708" s="6"/>
      <c r="F708" s="6"/>
      <c r="G708" s="6"/>
      <c r="H708" s="25"/>
      <c r="I708" s="25"/>
      <c r="J708" s="6"/>
      <c r="K708" s="6"/>
      <c r="L708" s="6"/>
      <c r="M708" s="6"/>
      <c r="N708" s="6"/>
      <c r="O708" s="6"/>
      <c r="P708" s="6"/>
      <c r="Q708" s="6"/>
      <c r="R708" s="6"/>
      <c r="S708" s="26"/>
      <c r="T708" s="26"/>
      <c r="U708" s="27"/>
      <c r="V708" s="6"/>
      <c r="W708" s="6"/>
      <c r="X708" s="6"/>
      <c r="Y708" s="6"/>
      <c r="Z708" s="6"/>
      <c r="AA708" s="6"/>
      <c r="AB708" s="6"/>
      <c r="AC708" s="6"/>
      <c r="AD708" s="6"/>
    </row>
    <row r="709">
      <c r="A709" s="6"/>
      <c r="B709" s="6"/>
      <c r="C709" s="6"/>
      <c r="D709" s="6"/>
      <c r="E709" s="6"/>
      <c r="F709" s="6"/>
      <c r="G709" s="6"/>
      <c r="H709" s="25"/>
      <c r="I709" s="25"/>
      <c r="J709" s="6"/>
      <c r="K709" s="6"/>
      <c r="L709" s="6"/>
      <c r="M709" s="6"/>
      <c r="N709" s="6"/>
      <c r="O709" s="6"/>
      <c r="P709" s="6"/>
      <c r="Q709" s="6"/>
      <c r="R709" s="6"/>
      <c r="S709" s="26"/>
      <c r="T709" s="26"/>
      <c r="U709" s="27"/>
      <c r="V709" s="6"/>
      <c r="W709" s="6"/>
      <c r="X709" s="6"/>
      <c r="Y709" s="6"/>
      <c r="Z709" s="6"/>
      <c r="AA709" s="6"/>
      <c r="AB709" s="6"/>
      <c r="AC709" s="6"/>
      <c r="AD709" s="6"/>
    </row>
    <row r="710">
      <c r="A710" s="6"/>
      <c r="B710" s="6"/>
      <c r="C710" s="6"/>
      <c r="D710" s="6"/>
      <c r="E710" s="6"/>
      <c r="F710" s="6"/>
      <c r="G710" s="6"/>
      <c r="H710" s="25"/>
      <c r="I710" s="25"/>
      <c r="J710" s="6"/>
      <c r="K710" s="6"/>
      <c r="L710" s="6"/>
      <c r="M710" s="6"/>
      <c r="N710" s="6"/>
      <c r="O710" s="6"/>
      <c r="P710" s="6"/>
      <c r="Q710" s="6"/>
      <c r="R710" s="6"/>
      <c r="S710" s="26"/>
      <c r="T710" s="26"/>
      <c r="U710" s="27"/>
      <c r="V710" s="6"/>
      <c r="W710" s="6"/>
      <c r="X710" s="6"/>
      <c r="Y710" s="6"/>
      <c r="Z710" s="6"/>
      <c r="AA710" s="6"/>
      <c r="AB710" s="6"/>
      <c r="AC710" s="6"/>
      <c r="AD710" s="6"/>
    </row>
    <row r="711">
      <c r="A711" s="6"/>
      <c r="B711" s="6"/>
      <c r="C711" s="6"/>
      <c r="D711" s="6"/>
      <c r="E711" s="6"/>
      <c r="F711" s="6"/>
      <c r="G711" s="6"/>
      <c r="H711" s="25"/>
      <c r="I711" s="25"/>
      <c r="J711" s="6"/>
      <c r="K711" s="6"/>
      <c r="L711" s="6"/>
      <c r="M711" s="6"/>
      <c r="N711" s="6"/>
      <c r="O711" s="6"/>
      <c r="P711" s="6"/>
      <c r="Q711" s="6"/>
      <c r="R711" s="6"/>
      <c r="S711" s="26"/>
      <c r="T711" s="26"/>
      <c r="U711" s="27"/>
      <c r="V711" s="6"/>
      <c r="W711" s="6"/>
      <c r="X711" s="6"/>
      <c r="Y711" s="6"/>
      <c r="Z711" s="6"/>
      <c r="AA711" s="6"/>
      <c r="AB711" s="6"/>
      <c r="AC711" s="6"/>
      <c r="AD711" s="6"/>
    </row>
    <row r="712">
      <c r="A712" s="6"/>
      <c r="B712" s="6"/>
      <c r="C712" s="6"/>
      <c r="D712" s="6"/>
      <c r="E712" s="6"/>
      <c r="F712" s="6"/>
      <c r="G712" s="6"/>
      <c r="H712" s="25"/>
      <c r="I712" s="25"/>
      <c r="J712" s="6"/>
      <c r="K712" s="6"/>
      <c r="L712" s="6"/>
      <c r="M712" s="6"/>
      <c r="N712" s="6"/>
      <c r="O712" s="6"/>
      <c r="P712" s="6"/>
      <c r="Q712" s="6"/>
      <c r="R712" s="6"/>
      <c r="S712" s="26"/>
      <c r="T712" s="26"/>
      <c r="U712" s="27"/>
      <c r="V712" s="6"/>
      <c r="W712" s="6"/>
      <c r="X712" s="6"/>
      <c r="Y712" s="6"/>
      <c r="Z712" s="6"/>
      <c r="AA712" s="6"/>
      <c r="AB712" s="6"/>
      <c r="AC712" s="6"/>
      <c r="AD712" s="6"/>
    </row>
    <row r="713">
      <c r="A713" s="6"/>
      <c r="B713" s="6"/>
      <c r="C713" s="6"/>
      <c r="D713" s="6"/>
      <c r="E713" s="6"/>
      <c r="F713" s="6"/>
      <c r="G713" s="6"/>
      <c r="H713" s="25"/>
      <c r="I713" s="25"/>
      <c r="J713" s="6"/>
      <c r="K713" s="6"/>
      <c r="L713" s="6"/>
      <c r="M713" s="6"/>
      <c r="N713" s="6"/>
      <c r="O713" s="6"/>
      <c r="P713" s="6"/>
      <c r="Q713" s="6"/>
      <c r="R713" s="6"/>
      <c r="S713" s="26"/>
      <c r="T713" s="26"/>
      <c r="U713" s="27"/>
      <c r="V713" s="6"/>
      <c r="W713" s="6"/>
      <c r="X713" s="6"/>
      <c r="Y713" s="6"/>
      <c r="Z713" s="6"/>
      <c r="AA713" s="6"/>
      <c r="AB713" s="6"/>
      <c r="AC713" s="6"/>
      <c r="AD713" s="6"/>
    </row>
    <row r="714">
      <c r="A714" s="6"/>
      <c r="B714" s="6"/>
      <c r="C714" s="6"/>
      <c r="D714" s="6"/>
      <c r="E714" s="6"/>
      <c r="F714" s="6"/>
      <c r="G714" s="6"/>
      <c r="H714" s="25"/>
      <c r="I714" s="25"/>
      <c r="J714" s="6"/>
      <c r="K714" s="6"/>
      <c r="L714" s="6"/>
      <c r="M714" s="6"/>
      <c r="N714" s="6"/>
      <c r="O714" s="6"/>
      <c r="P714" s="6"/>
      <c r="Q714" s="6"/>
      <c r="R714" s="6"/>
      <c r="S714" s="26"/>
      <c r="T714" s="26"/>
      <c r="U714" s="27"/>
      <c r="V714" s="6"/>
      <c r="W714" s="6"/>
      <c r="X714" s="6"/>
      <c r="Y714" s="6"/>
      <c r="Z714" s="6"/>
      <c r="AA714" s="6"/>
      <c r="AB714" s="6"/>
      <c r="AC714" s="6"/>
      <c r="AD714" s="6"/>
    </row>
    <row r="715">
      <c r="A715" s="6"/>
      <c r="B715" s="6"/>
      <c r="C715" s="6"/>
      <c r="D715" s="6"/>
      <c r="E715" s="6"/>
      <c r="F715" s="6"/>
      <c r="G715" s="6"/>
      <c r="H715" s="25"/>
      <c r="I715" s="25"/>
      <c r="J715" s="6"/>
      <c r="K715" s="6"/>
      <c r="L715" s="6"/>
      <c r="M715" s="6"/>
      <c r="N715" s="6"/>
      <c r="O715" s="6"/>
      <c r="P715" s="6"/>
      <c r="Q715" s="6"/>
      <c r="R715" s="6"/>
      <c r="S715" s="26"/>
      <c r="T715" s="26"/>
      <c r="U715" s="27"/>
      <c r="V715" s="6"/>
      <c r="W715" s="6"/>
      <c r="X715" s="6"/>
      <c r="Y715" s="6"/>
      <c r="Z715" s="6"/>
      <c r="AA715" s="6"/>
      <c r="AB715" s="6"/>
      <c r="AC715" s="6"/>
      <c r="AD715" s="6"/>
    </row>
    <row r="716">
      <c r="A716" s="6"/>
      <c r="B716" s="6"/>
      <c r="C716" s="6"/>
      <c r="D716" s="6"/>
      <c r="E716" s="6"/>
      <c r="F716" s="6"/>
      <c r="G716" s="6"/>
      <c r="H716" s="25"/>
      <c r="I716" s="25"/>
      <c r="J716" s="6"/>
      <c r="K716" s="6"/>
      <c r="L716" s="6"/>
      <c r="M716" s="6"/>
      <c r="N716" s="6"/>
      <c r="O716" s="6"/>
      <c r="P716" s="6"/>
      <c r="Q716" s="6"/>
      <c r="R716" s="6"/>
      <c r="S716" s="26"/>
      <c r="T716" s="26"/>
      <c r="U716" s="27"/>
      <c r="V716" s="6"/>
      <c r="W716" s="6"/>
      <c r="X716" s="6"/>
      <c r="Y716" s="6"/>
      <c r="Z716" s="6"/>
      <c r="AA716" s="6"/>
      <c r="AB716" s="6"/>
      <c r="AC716" s="6"/>
      <c r="AD716" s="6"/>
    </row>
    <row r="717">
      <c r="A717" s="6"/>
      <c r="B717" s="6"/>
      <c r="C717" s="6"/>
      <c r="D717" s="6"/>
      <c r="E717" s="6"/>
      <c r="F717" s="6"/>
      <c r="G717" s="6"/>
      <c r="H717" s="25"/>
      <c r="I717" s="25"/>
      <c r="J717" s="6"/>
      <c r="K717" s="6"/>
      <c r="L717" s="6"/>
      <c r="M717" s="6"/>
      <c r="N717" s="6"/>
      <c r="O717" s="6"/>
      <c r="P717" s="6"/>
      <c r="Q717" s="6"/>
      <c r="R717" s="6"/>
      <c r="S717" s="26"/>
      <c r="T717" s="26"/>
      <c r="U717" s="27"/>
      <c r="V717" s="6"/>
      <c r="W717" s="6"/>
      <c r="X717" s="6"/>
      <c r="Y717" s="6"/>
      <c r="Z717" s="6"/>
      <c r="AA717" s="6"/>
      <c r="AB717" s="6"/>
      <c r="AC717" s="6"/>
      <c r="AD717" s="6"/>
    </row>
    <row r="718">
      <c r="A718" s="6"/>
      <c r="B718" s="6"/>
      <c r="C718" s="6"/>
      <c r="D718" s="6"/>
      <c r="E718" s="6"/>
      <c r="F718" s="6"/>
      <c r="G718" s="6"/>
      <c r="H718" s="25"/>
      <c r="I718" s="25"/>
      <c r="J718" s="6"/>
      <c r="K718" s="6"/>
      <c r="L718" s="6"/>
      <c r="M718" s="6"/>
      <c r="N718" s="6"/>
      <c r="O718" s="6"/>
      <c r="P718" s="6"/>
      <c r="Q718" s="6"/>
      <c r="R718" s="6"/>
      <c r="S718" s="26"/>
      <c r="T718" s="26"/>
      <c r="U718" s="27"/>
      <c r="V718" s="6"/>
      <c r="W718" s="6"/>
      <c r="X718" s="6"/>
      <c r="Y718" s="6"/>
      <c r="Z718" s="6"/>
      <c r="AA718" s="6"/>
      <c r="AB718" s="6"/>
      <c r="AC718" s="6"/>
      <c r="AD718" s="6"/>
    </row>
    <row r="719">
      <c r="A719" s="6"/>
      <c r="B719" s="6"/>
      <c r="C719" s="6"/>
      <c r="D719" s="6"/>
      <c r="E719" s="6"/>
      <c r="F719" s="6"/>
      <c r="G719" s="6"/>
      <c r="H719" s="25"/>
      <c r="I719" s="25"/>
      <c r="J719" s="6"/>
      <c r="K719" s="6"/>
      <c r="L719" s="6"/>
      <c r="M719" s="6"/>
      <c r="N719" s="6"/>
      <c r="O719" s="6"/>
      <c r="P719" s="6"/>
      <c r="Q719" s="6"/>
      <c r="R719" s="6"/>
      <c r="S719" s="26"/>
      <c r="T719" s="26"/>
      <c r="U719" s="27"/>
      <c r="V719" s="6"/>
      <c r="W719" s="6"/>
      <c r="X719" s="6"/>
      <c r="Y719" s="6"/>
      <c r="Z719" s="6"/>
      <c r="AA719" s="6"/>
      <c r="AB719" s="6"/>
      <c r="AC719" s="6"/>
      <c r="AD719" s="6"/>
    </row>
    <row r="720">
      <c r="A720" s="6"/>
      <c r="B720" s="6"/>
      <c r="C720" s="6"/>
      <c r="D720" s="6"/>
      <c r="E720" s="6"/>
      <c r="F720" s="6"/>
      <c r="G720" s="6"/>
      <c r="H720" s="25"/>
      <c r="I720" s="25"/>
      <c r="J720" s="6"/>
      <c r="K720" s="6"/>
      <c r="L720" s="6"/>
      <c r="M720" s="6"/>
      <c r="N720" s="6"/>
      <c r="O720" s="6"/>
      <c r="P720" s="6"/>
      <c r="Q720" s="6"/>
      <c r="R720" s="6"/>
      <c r="S720" s="26"/>
      <c r="T720" s="26"/>
      <c r="U720" s="27"/>
      <c r="V720" s="6"/>
      <c r="W720" s="6"/>
      <c r="X720" s="6"/>
      <c r="Y720" s="6"/>
      <c r="Z720" s="6"/>
      <c r="AA720" s="6"/>
      <c r="AB720" s="6"/>
      <c r="AC720" s="6"/>
      <c r="AD720" s="6"/>
    </row>
    <row r="721">
      <c r="A721" s="6"/>
      <c r="B721" s="6"/>
      <c r="C721" s="6"/>
      <c r="D721" s="6"/>
      <c r="E721" s="6"/>
      <c r="F721" s="6"/>
      <c r="G721" s="6"/>
      <c r="H721" s="25"/>
      <c r="I721" s="25"/>
      <c r="J721" s="6"/>
      <c r="K721" s="6"/>
      <c r="L721" s="6"/>
      <c r="M721" s="6"/>
      <c r="N721" s="6"/>
      <c r="O721" s="6"/>
      <c r="P721" s="6"/>
      <c r="Q721" s="6"/>
      <c r="R721" s="6"/>
      <c r="S721" s="26"/>
      <c r="T721" s="26"/>
      <c r="U721" s="27"/>
      <c r="V721" s="6"/>
      <c r="W721" s="6"/>
      <c r="X721" s="6"/>
      <c r="Y721" s="6"/>
      <c r="Z721" s="6"/>
      <c r="AA721" s="6"/>
      <c r="AB721" s="6"/>
      <c r="AC721" s="6"/>
      <c r="AD721" s="6"/>
    </row>
    <row r="722">
      <c r="A722" s="6"/>
      <c r="B722" s="6"/>
      <c r="C722" s="6"/>
      <c r="D722" s="6"/>
      <c r="E722" s="6"/>
      <c r="F722" s="6"/>
      <c r="G722" s="6"/>
      <c r="H722" s="25"/>
      <c r="I722" s="25"/>
      <c r="J722" s="6"/>
      <c r="K722" s="6"/>
      <c r="L722" s="6"/>
      <c r="M722" s="6"/>
      <c r="N722" s="6"/>
      <c r="O722" s="6"/>
      <c r="P722" s="6"/>
      <c r="Q722" s="6"/>
      <c r="R722" s="6"/>
      <c r="S722" s="26"/>
      <c r="T722" s="26"/>
      <c r="U722" s="27"/>
      <c r="V722" s="6"/>
      <c r="W722" s="6"/>
      <c r="X722" s="6"/>
      <c r="Y722" s="6"/>
      <c r="Z722" s="6"/>
      <c r="AA722" s="6"/>
      <c r="AB722" s="6"/>
      <c r="AC722" s="6"/>
      <c r="AD722" s="6"/>
    </row>
    <row r="723">
      <c r="A723" s="6"/>
      <c r="B723" s="6"/>
      <c r="C723" s="6"/>
      <c r="D723" s="6"/>
      <c r="E723" s="6"/>
      <c r="F723" s="6"/>
      <c r="G723" s="6"/>
      <c r="H723" s="25"/>
      <c r="I723" s="25"/>
      <c r="J723" s="6"/>
      <c r="K723" s="6"/>
      <c r="L723" s="6"/>
      <c r="M723" s="6"/>
      <c r="N723" s="6"/>
      <c r="O723" s="6"/>
      <c r="P723" s="6"/>
      <c r="Q723" s="6"/>
      <c r="R723" s="6"/>
      <c r="S723" s="26"/>
      <c r="T723" s="26"/>
      <c r="U723" s="27"/>
      <c r="V723" s="6"/>
      <c r="W723" s="6"/>
      <c r="X723" s="6"/>
      <c r="Y723" s="6"/>
      <c r="Z723" s="6"/>
      <c r="AA723" s="6"/>
      <c r="AB723" s="6"/>
      <c r="AC723" s="6"/>
      <c r="AD723" s="6"/>
    </row>
    <row r="724">
      <c r="A724" s="6"/>
      <c r="B724" s="6"/>
      <c r="C724" s="6"/>
      <c r="D724" s="6"/>
      <c r="E724" s="6"/>
      <c r="F724" s="6"/>
      <c r="G724" s="6"/>
      <c r="H724" s="25"/>
      <c r="I724" s="25"/>
      <c r="J724" s="6"/>
      <c r="K724" s="6"/>
      <c r="L724" s="6"/>
      <c r="M724" s="6"/>
      <c r="N724" s="6"/>
      <c r="O724" s="6"/>
      <c r="P724" s="6"/>
      <c r="Q724" s="6"/>
      <c r="R724" s="6"/>
      <c r="S724" s="26"/>
      <c r="T724" s="26"/>
      <c r="U724" s="27"/>
      <c r="V724" s="6"/>
      <c r="W724" s="6"/>
      <c r="X724" s="6"/>
      <c r="Y724" s="6"/>
      <c r="Z724" s="6"/>
      <c r="AA724" s="6"/>
      <c r="AB724" s="6"/>
      <c r="AC724" s="6"/>
      <c r="AD724" s="6"/>
    </row>
    <row r="725">
      <c r="A725" s="6"/>
      <c r="B725" s="6"/>
      <c r="C725" s="6"/>
      <c r="D725" s="6"/>
      <c r="E725" s="6"/>
      <c r="F725" s="6"/>
      <c r="G725" s="6"/>
      <c r="H725" s="25"/>
      <c r="I725" s="25"/>
      <c r="J725" s="6"/>
      <c r="K725" s="6"/>
      <c r="L725" s="6"/>
      <c r="M725" s="6"/>
      <c r="N725" s="6"/>
      <c r="O725" s="6"/>
      <c r="P725" s="6"/>
      <c r="Q725" s="6"/>
      <c r="R725" s="6"/>
      <c r="S725" s="26"/>
      <c r="T725" s="26"/>
      <c r="U725" s="27"/>
      <c r="V725" s="6"/>
      <c r="W725" s="6"/>
      <c r="X725" s="6"/>
      <c r="Y725" s="6"/>
      <c r="Z725" s="6"/>
      <c r="AA725" s="6"/>
      <c r="AB725" s="6"/>
      <c r="AC725" s="6"/>
      <c r="AD725" s="6"/>
    </row>
    <row r="726">
      <c r="A726" s="6"/>
      <c r="B726" s="6"/>
      <c r="C726" s="6"/>
      <c r="D726" s="6"/>
      <c r="E726" s="6"/>
      <c r="F726" s="6"/>
      <c r="G726" s="6"/>
      <c r="H726" s="25"/>
      <c r="I726" s="25"/>
      <c r="J726" s="6"/>
      <c r="K726" s="6"/>
      <c r="L726" s="6"/>
      <c r="M726" s="6"/>
      <c r="N726" s="6"/>
      <c r="O726" s="6"/>
      <c r="P726" s="6"/>
      <c r="Q726" s="6"/>
      <c r="R726" s="6"/>
      <c r="S726" s="26"/>
      <c r="T726" s="26"/>
      <c r="U726" s="27"/>
      <c r="V726" s="6"/>
      <c r="W726" s="6"/>
      <c r="X726" s="6"/>
      <c r="Y726" s="6"/>
      <c r="Z726" s="6"/>
      <c r="AA726" s="6"/>
      <c r="AB726" s="6"/>
      <c r="AC726" s="6"/>
      <c r="AD726" s="6"/>
    </row>
    <row r="727">
      <c r="A727" s="6"/>
      <c r="B727" s="6"/>
      <c r="C727" s="6"/>
      <c r="D727" s="6"/>
      <c r="E727" s="6"/>
      <c r="F727" s="6"/>
      <c r="G727" s="6"/>
      <c r="H727" s="25"/>
      <c r="I727" s="25"/>
      <c r="J727" s="6"/>
      <c r="K727" s="6"/>
      <c r="L727" s="6"/>
      <c r="M727" s="6"/>
      <c r="N727" s="6"/>
      <c r="O727" s="6"/>
      <c r="P727" s="6"/>
      <c r="Q727" s="6"/>
      <c r="R727" s="6"/>
      <c r="S727" s="26"/>
      <c r="T727" s="26"/>
      <c r="U727" s="27"/>
      <c r="V727" s="6"/>
      <c r="W727" s="6"/>
      <c r="X727" s="6"/>
      <c r="Y727" s="6"/>
      <c r="Z727" s="6"/>
      <c r="AA727" s="6"/>
      <c r="AB727" s="6"/>
      <c r="AC727" s="6"/>
      <c r="AD727" s="6"/>
    </row>
    <row r="728">
      <c r="A728" s="6"/>
      <c r="B728" s="6"/>
      <c r="C728" s="6"/>
      <c r="D728" s="6"/>
      <c r="E728" s="6"/>
      <c r="F728" s="6"/>
      <c r="G728" s="6"/>
      <c r="H728" s="25"/>
      <c r="I728" s="25"/>
      <c r="J728" s="6"/>
      <c r="K728" s="6"/>
      <c r="L728" s="6"/>
      <c r="M728" s="6"/>
      <c r="N728" s="6"/>
      <c r="O728" s="6"/>
      <c r="P728" s="6"/>
      <c r="Q728" s="6"/>
      <c r="R728" s="6"/>
      <c r="S728" s="26"/>
      <c r="T728" s="26"/>
      <c r="U728" s="27"/>
      <c r="V728" s="6"/>
      <c r="W728" s="6"/>
      <c r="X728" s="6"/>
      <c r="Y728" s="6"/>
      <c r="Z728" s="6"/>
      <c r="AA728" s="6"/>
      <c r="AB728" s="6"/>
      <c r="AC728" s="6"/>
      <c r="AD728" s="6"/>
    </row>
    <row r="729">
      <c r="A729" s="6"/>
      <c r="B729" s="6"/>
      <c r="C729" s="6"/>
      <c r="D729" s="6"/>
      <c r="E729" s="6"/>
      <c r="F729" s="6"/>
      <c r="G729" s="6"/>
      <c r="H729" s="25"/>
      <c r="I729" s="25"/>
      <c r="J729" s="6"/>
      <c r="K729" s="6"/>
      <c r="L729" s="6"/>
      <c r="M729" s="6"/>
      <c r="N729" s="6"/>
      <c r="O729" s="6"/>
      <c r="P729" s="6"/>
      <c r="Q729" s="6"/>
      <c r="R729" s="6"/>
      <c r="S729" s="26"/>
      <c r="T729" s="26"/>
      <c r="U729" s="27"/>
      <c r="V729" s="6"/>
      <c r="W729" s="6"/>
      <c r="X729" s="6"/>
      <c r="Y729" s="6"/>
      <c r="Z729" s="6"/>
      <c r="AA729" s="6"/>
      <c r="AB729" s="6"/>
      <c r="AC729" s="6"/>
      <c r="AD729" s="6"/>
    </row>
    <row r="730">
      <c r="A730" s="6"/>
      <c r="B730" s="6"/>
      <c r="C730" s="6"/>
      <c r="D730" s="6"/>
      <c r="E730" s="6"/>
      <c r="F730" s="6"/>
      <c r="G730" s="6"/>
      <c r="H730" s="25"/>
      <c r="I730" s="25"/>
      <c r="J730" s="6"/>
      <c r="K730" s="6"/>
      <c r="L730" s="6"/>
      <c r="M730" s="6"/>
      <c r="N730" s="6"/>
      <c r="O730" s="6"/>
      <c r="P730" s="6"/>
      <c r="Q730" s="6"/>
      <c r="R730" s="6"/>
      <c r="S730" s="26"/>
      <c r="T730" s="26"/>
      <c r="U730" s="27"/>
      <c r="V730" s="6"/>
      <c r="W730" s="6"/>
      <c r="X730" s="6"/>
      <c r="Y730" s="6"/>
      <c r="Z730" s="6"/>
      <c r="AA730" s="6"/>
      <c r="AB730" s="6"/>
      <c r="AC730" s="6"/>
      <c r="AD730" s="6"/>
    </row>
    <row r="731">
      <c r="A731" s="6"/>
      <c r="B731" s="6"/>
      <c r="C731" s="6"/>
      <c r="D731" s="6"/>
      <c r="E731" s="6"/>
      <c r="F731" s="6"/>
      <c r="G731" s="6"/>
      <c r="H731" s="25"/>
      <c r="I731" s="25"/>
      <c r="J731" s="6"/>
      <c r="K731" s="6"/>
      <c r="L731" s="6"/>
      <c r="M731" s="6"/>
      <c r="N731" s="6"/>
      <c r="O731" s="6"/>
      <c r="P731" s="6"/>
      <c r="Q731" s="6"/>
      <c r="R731" s="6"/>
      <c r="S731" s="26"/>
      <c r="T731" s="26"/>
      <c r="U731" s="27"/>
      <c r="V731" s="6"/>
      <c r="W731" s="6"/>
      <c r="X731" s="6"/>
      <c r="Y731" s="6"/>
      <c r="Z731" s="6"/>
      <c r="AA731" s="6"/>
      <c r="AB731" s="6"/>
      <c r="AC731" s="6"/>
      <c r="AD731" s="6"/>
    </row>
    <row r="732">
      <c r="A732" s="6"/>
      <c r="B732" s="6"/>
      <c r="C732" s="6"/>
      <c r="D732" s="6"/>
      <c r="E732" s="6"/>
      <c r="F732" s="6"/>
      <c r="G732" s="6"/>
      <c r="H732" s="25"/>
      <c r="I732" s="25"/>
      <c r="J732" s="6"/>
      <c r="K732" s="6"/>
      <c r="L732" s="6"/>
      <c r="M732" s="6"/>
      <c r="N732" s="6"/>
      <c r="O732" s="6"/>
      <c r="P732" s="6"/>
      <c r="Q732" s="6"/>
      <c r="R732" s="6"/>
      <c r="S732" s="26"/>
      <c r="T732" s="26"/>
      <c r="U732" s="27"/>
      <c r="V732" s="6"/>
      <c r="W732" s="6"/>
      <c r="X732" s="6"/>
      <c r="Y732" s="6"/>
      <c r="Z732" s="6"/>
      <c r="AA732" s="6"/>
      <c r="AB732" s="6"/>
      <c r="AC732" s="6"/>
      <c r="AD732" s="6"/>
    </row>
    <row r="733">
      <c r="A733" s="6"/>
      <c r="B733" s="6"/>
      <c r="C733" s="6"/>
      <c r="D733" s="6"/>
      <c r="E733" s="6"/>
      <c r="F733" s="6"/>
      <c r="G733" s="6"/>
      <c r="H733" s="25"/>
      <c r="I733" s="25"/>
      <c r="J733" s="6"/>
      <c r="K733" s="6"/>
      <c r="L733" s="6"/>
      <c r="M733" s="6"/>
      <c r="N733" s="6"/>
      <c r="O733" s="6"/>
      <c r="P733" s="6"/>
      <c r="Q733" s="6"/>
      <c r="R733" s="6"/>
      <c r="S733" s="26"/>
      <c r="T733" s="26"/>
      <c r="U733" s="27"/>
      <c r="V733" s="6"/>
      <c r="W733" s="6"/>
      <c r="X733" s="6"/>
      <c r="Y733" s="6"/>
      <c r="Z733" s="6"/>
      <c r="AA733" s="6"/>
      <c r="AB733" s="6"/>
      <c r="AC733" s="6"/>
      <c r="AD733" s="6"/>
    </row>
    <row r="734">
      <c r="A734" s="6"/>
      <c r="B734" s="6"/>
      <c r="C734" s="6"/>
      <c r="D734" s="6"/>
      <c r="E734" s="6"/>
      <c r="F734" s="6"/>
      <c r="G734" s="6"/>
      <c r="H734" s="25"/>
      <c r="I734" s="25"/>
      <c r="J734" s="6"/>
      <c r="K734" s="6"/>
      <c r="L734" s="6"/>
      <c r="M734" s="6"/>
      <c r="N734" s="6"/>
      <c r="O734" s="6"/>
      <c r="P734" s="6"/>
      <c r="Q734" s="6"/>
      <c r="R734" s="6"/>
      <c r="S734" s="26"/>
      <c r="T734" s="26"/>
      <c r="U734" s="27"/>
      <c r="V734" s="6"/>
      <c r="W734" s="6"/>
      <c r="X734" s="6"/>
      <c r="Y734" s="6"/>
      <c r="Z734" s="6"/>
      <c r="AA734" s="6"/>
      <c r="AB734" s="6"/>
      <c r="AC734" s="6"/>
      <c r="AD734" s="6"/>
    </row>
    <row r="735">
      <c r="A735" s="6"/>
      <c r="B735" s="6"/>
      <c r="C735" s="6"/>
      <c r="D735" s="6"/>
      <c r="E735" s="6"/>
      <c r="F735" s="6"/>
      <c r="G735" s="6"/>
      <c r="H735" s="25"/>
      <c r="I735" s="25"/>
      <c r="J735" s="6"/>
      <c r="K735" s="6"/>
      <c r="L735" s="6"/>
      <c r="M735" s="6"/>
      <c r="N735" s="6"/>
      <c r="O735" s="6"/>
      <c r="P735" s="6"/>
      <c r="Q735" s="6"/>
      <c r="R735" s="6"/>
      <c r="S735" s="26"/>
      <c r="T735" s="26"/>
      <c r="U735" s="27"/>
      <c r="V735" s="6"/>
      <c r="W735" s="6"/>
      <c r="X735" s="6"/>
      <c r="Y735" s="6"/>
      <c r="Z735" s="6"/>
      <c r="AA735" s="6"/>
      <c r="AB735" s="6"/>
      <c r="AC735" s="6"/>
      <c r="AD735" s="6"/>
    </row>
    <row r="736">
      <c r="A736" s="6"/>
      <c r="B736" s="6"/>
      <c r="C736" s="6"/>
      <c r="D736" s="6"/>
      <c r="E736" s="6"/>
      <c r="F736" s="6"/>
      <c r="G736" s="6"/>
      <c r="H736" s="25"/>
      <c r="I736" s="25"/>
      <c r="J736" s="6"/>
      <c r="K736" s="6"/>
      <c r="L736" s="6"/>
      <c r="M736" s="6"/>
      <c r="N736" s="6"/>
      <c r="O736" s="6"/>
      <c r="P736" s="6"/>
      <c r="Q736" s="6"/>
      <c r="R736" s="6"/>
      <c r="S736" s="26"/>
      <c r="T736" s="26"/>
      <c r="U736" s="27"/>
      <c r="V736" s="6"/>
      <c r="W736" s="6"/>
      <c r="X736" s="6"/>
      <c r="Y736" s="6"/>
      <c r="Z736" s="6"/>
      <c r="AA736" s="6"/>
      <c r="AB736" s="6"/>
      <c r="AC736" s="6"/>
      <c r="AD736" s="6"/>
    </row>
    <row r="737">
      <c r="A737" s="6"/>
      <c r="B737" s="6"/>
      <c r="C737" s="6"/>
      <c r="D737" s="6"/>
      <c r="E737" s="6"/>
      <c r="F737" s="6"/>
      <c r="G737" s="6"/>
      <c r="H737" s="25"/>
      <c r="I737" s="25"/>
      <c r="J737" s="6"/>
      <c r="K737" s="6"/>
      <c r="L737" s="6"/>
      <c r="M737" s="6"/>
      <c r="N737" s="6"/>
      <c r="O737" s="6"/>
      <c r="P737" s="6"/>
      <c r="Q737" s="6"/>
      <c r="R737" s="6"/>
      <c r="S737" s="26"/>
      <c r="T737" s="26"/>
      <c r="U737" s="27"/>
      <c r="V737" s="6"/>
      <c r="W737" s="6"/>
      <c r="X737" s="6"/>
      <c r="Y737" s="6"/>
      <c r="Z737" s="6"/>
      <c r="AA737" s="6"/>
      <c r="AB737" s="6"/>
      <c r="AC737" s="6"/>
      <c r="AD737" s="6"/>
    </row>
    <row r="738">
      <c r="A738" s="6"/>
      <c r="B738" s="6"/>
      <c r="C738" s="6"/>
      <c r="D738" s="6"/>
      <c r="E738" s="6"/>
      <c r="F738" s="6"/>
      <c r="G738" s="6"/>
      <c r="H738" s="25"/>
      <c r="I738" s="25"/>
      <c r="J738" s="6"/>
      <c r="K738" s="6"/>
      <c r="L738" s="6"/>
      <c r="M738" s="6"/>
      <c r="N738" s="6"/>
      <c r="O738" s="6"/>
      <c r="P738" s="6"/>
      <c r="Q738" s="6"/>
      <c r="R738" s="6"/>
      <c r="S738" s="26"/>
      <c r="T738" s="26"/>
      <c r="U738" s="27"/>
      <c r="V738" s="6"/>
      <c r="W738" s="6"/>
      <c r="X738" s="6"/>
      <c r="Y738" s="6"/>
      <c r="Z738" s="6"/>
      <c r="AA738" s="6"/>
      <c r="AB738" s="6"/>
      <c r="AC738" s="6"/>
      <c r="AD738" s="6"/>
    </row>
    <row r="739">
      <c r="A739" s="6"/>
      <c r="B739" s="6"/>
      <c r="C739" s="6"/>
      <c r="D739" s="6"/>
      <c r="E739" s="6"/>
      <c r="F739" s="6"/>
      <c r="G739" s="6"/>
      <c r="H739" s="25"/>
      <c r="I739" s="25"/>
      <c r="J739" s="6"/>
      <c r="K739" s="6"/>
      <c r="L739" s="6"/>
      <c r="M739" s="6"/>
      <c r="N739" s="6"/>
      <c r="O739" s="6"/>
      <c r="P739" s="6"/>
      <c r="Q739" s="6"/>
      <c r="R739" s="6"/>
      <c r="S739" s="26"/>
      <c r="T739" s="26"/>
      <c r="U739" s="27"/>
      <c r="V739" s="6"/>
      <c r="W739" s="6"/>
      <c r="X739" s="6"/>
      <c r="Y739" s="6"/>
      <c r="Z739" s="6"/>
      <c r="AA739" s="6"/>
      <c r="AB739" s="6"/>
      <c r="AC739" s="6"/>
      <c r="AD739" s="6"/>
    </row>
    <row r="740">
      <c r="A740" s="6"/>
      <c r="B740" s="6"/>
      <c r="C740" s="6"/>
      <c r="D740" s="6"/>
      <c r="E740" s="6"/>
      <c r="F740" s="6"/>
      <c r="G740" s="6"/>
      <c r="H740" s="25"/>
      <c r="I740" s="25"/>
      <c r="J740" s="6"/>
      <c r="K740" s="6"/>
      <c r="L740" s="6"/>
      <c r="M740" s="6"/>
      <c r="N740" s="6"/>
      <c r="O740" s="6"/>
      <c r="P740" s="6"/>
      <c r="Q740" s="6"/>
      <c r="R740" s="6"/>
      <c r="S740" s="26"/>
      <c r="T740" s="26"/>
      <c r="U740" s="27"/>
      <c r="V740" s="6"/>
      <c r="W740" s="6"/>
      <c r="X740" s="6"/>
      <c r="Y740" s="6"/>
      <c r="Z740" s="6"/>
      <c r="AA740" s="6"/>
      <c r="AB740" s="6"/>
      <c r="AC740" s="6"/>
      <c r="AD740" s="6"/>
    </row>
    <row r="741">
      <c r="A741" s="6"/>
      <c r="B741" s="6"/>
      <c r="C741" s="6"/>
      <c r="D741" s="6"/>
      <c r="E741" s="6"/>
      <c r="F741" s="6"/>
      <c r="G741" s="6"/>
      <c r="H741" s="25"/>
      <c r="I741" s="25"/>
      <c r="J741" s="6"/>
      <c r="K741" s="6"/>
      <c r="L741" s="6"/>
      <c r="M741" s="6"/>
      <c r="N741" s="6"/>
      <c r="O741" s="6"/>
      <c r="P741" s="6"/>
      <c r="Q741" s="6"/>
      <c r="R741" s="6"/>
      <c r="S741" s="26"/>
      <c r="T741" s="26"/>
      <c r="U741" s="27"/>
      <c r="V741" s="6"/>
      <c r="W741" s="6"/>
      <c r="X741" s="6"/>
      <c r="Y741" s="6"/>
      <c r="Z741" s="6"/>
      <c r="AA741" s="6"/>
      <c r="AB741" s="6"/>
      <c r="AC741" s="6"/>
      <c r="AD741" s="6"/>
    </row>
    <row r="742">
      <c r="A742" s="6"/>
      <c r="B742" s="6"/>
      <c r="C742" s="6"/>
      <c r="D742" s="6"/>
      <c r="E742" s="6"/>
      <c r="F742" s="6"/>
      <c r="G742" s="6"/>
      <c r="H742" s="25"/>
      <c r="I742" s="25"/>
      <c r="J742" s="6"/>
      <c r="K742" s="6"/>
      <c r="L742" s="6"/>
      <c r="M742" s="6"/>
      <c r="N742" s="6"/>
      <c r="O742" s="6"/>
      <c r="P742" s="6"/>
      <c r="Q742" s="6"/>
      <c r="R742" s="6"/>
      <c r="S742" s="26"/>
      <c r="T742" s="26"/>
      <c r="U742" s="27"/>
      <c r="V742" s="6"/>
      <c r="W742" s="6"/>
      <c r="X742" s="6"/>
      <c r="Y742" s="6"/>
      <c r="Z742" s="6"/>
      <c r="AA742" s="6"/>
      <c r="AB742" s="6"/>
      <c r="AC742" s="6"/>
      <c r="AD742" s="6"/>
    </row>
    <row r="743">
      <c r="A743" s="6"/>
      <c r="B743" s="6"/>
      <c r="C743" s="6"/>
      <c r="D743" s="6"/>
      <c r="E743" s="6"/>
      <c r="F743" s="6"/>
      <c r="G743" s="6"/>
      <c r="H743" s="25"/>
      <c r="I743" s="25"/>
      <c r="J743" s="6"/>
      <c r="K743" s="6"/>
      <c r="L743" s="6"/>
      <c r="M743" s="6"/>
      <c r="N743" s="6"/>
      <c r="O743" s="6"/>
      <c r="P743" s="6"/>
      <c r="Q743" s="6"/>
      <c r="R743" s="6"/>
      <c r="S743" s="26"/>
      <c r="T743" s="26"/>
      <c r="U743" s="27"/>
      <c r="V743" s="6"/>
      <c r="W743" s="6"/>
      <c r="X743" s="6"/>
      <c r="Y743" s="6"/>
      <c r="Z743" s="6"/>
      <c r="AA743" s="6"/>
      <c r="AB743" s="6"/>
      <c r="AC743" s="6"/>
      <c r="AD743" s="6"/>
    </row>
    <row r="744">
      <c r="A744" s="6"/>
      <c r="B744" s="6"/>
      <c r="C744" s="6"/>
      <c r="D744" s="6"/>
      <c r="E744" s="6"/>
      <c r="F744" s="6"/>
      <c r="G744" s="6"/>
      <c r="H744" s="25"/>
      <c r="I744" s="25"/>
      <c r="J744" s="6"/>
      <c r="K744" s="6"/>
      <c r="L744" s="6"/>
      <c r="M744" s="6"/>
      <c r="N744" s="6"/>
      <c r="O744" s="6"/>
      <c r="P744" s="6"/>
      <c r="Q744" s="6"/>
      <c r="R744" s="6"/>
      <c r="S744" s="26"/>
      <c r="T744" s="26"/>
      <c r="U744" s="27"/>
      <c r="V744" s="6"/>
      <c r="W744" s="6"/>
      <c r="X744" s="6"/>
      <c r="Y744" s="6"/>
      <c r="Z744" s="6"/>
      <c r="AA744" s="6"/>
      <c r="AB744" s="6"/>
      <c r="AC744" s="6"/>
      <c r="AD744" s="6"/>
    </row>
    <row r="745">
      <c r="A745" s="6"/>
      <c r="B745" s="6"/>
      <c r="C745" s="6"/>
      <c r="D745" s="6"/>
      <c r="E745" s="6"/>
      <c r="F745" s="6"/>
      <c r="G745" s="6"/>
      <c r="H745" s="25"/>
      <c r="I745" s="25"/>
      <c r="J745" s="6"/>
      <c r="K745" s="6"/>
      <c r="L745" s="6"/>
      <c r="M745" s="6"/>
      <c r="N745" s="6"/>
      <c r="O745" s="6"/>
      <c r="P745" s="6"/>
      <c r="Q745" s="6"/>
      <c r="R745" s="6"/>
      <c r="S745" s="26"/>
      <c r="T745" s="26"/>
      <c r="U745" s="27"/>
      <c r="V745" s="6"/>
      <c r="W745" s="6"/>
      <c r="X745" s="6"/>
      <c r="Y745" s="6"/>
      <c r="Z745" s="6"/>
      <c r="AA745" s="6"/>
      <c r="AB745" s="6"/>
      <c r="AC745" s="6"/>
      <c r="AD745" s="6"/>
    </row>
    <row r="746">
      <c r="A746" s="6"/>
      <c r="B746" s="6"/>
      <c r="C746" s="6"/>
      <c r="D746" s="6"/>
      <c r="E746" s="6"/>
      <c r="F746" s="6"/>
      <c r="G746" s="6"/>
      <c r="H746" s="25"/>
      <c r="I746" s="25"/>
      <c r="J746" s="6"/>
      <c r="K746" s="6"/>
      <c r="L746" s="6"/>
      <c r="M746" s="6"/>
      <c r="N746" s="6"/>
      <c r="O746" s="6"/>
      <c r="P746" s="6"/>
      <c r="Q746" s="6"/>
      <c r="R746" s="6"/>
      <c r="S746" s="26"/>
      <c r="T746" s="26"/>
      <c r="U746" s="27"/>
      <c r="V746" s="6"/>
      <c r="W746" s="6"/>
      <c r="X746" s="6"/>
      <c r="Y746" s="6"/>
      <c r="Z746" s="6"/>
      <c r="AA746" s="6"/>
      <c r="AB746" s="6"/>
      <c r="AC746" s="6"/>
      <c r="AD746" s="6"/>
    </row>
    <row r="747">
      <c r="A747" s="6"/>
      <c r="B747" s="6"/>
      <c r="C747" s="6"/>
      <c r="D747" s="6"/>
      <c r="E747" s="6"/>
      <c r="F747" s="6"/>
      <c r="G747" s="6"/>
      <c r="H747" s="25"/>
      <c r="I747" s="25"/>
      <c r="J747" s="6"/>
      <c r="K747" s="6"/>
      <c r="L747" s="6"/>
      <c r="M747" s="6"/>
      <c r="N747" s="6"/>
      <c r="O747" s="6"/>
      <c r="P747" s="6"/>
      <c r="Q747" s="6"/>
      <c r="R747" s="6"/>
      <c r="S747" s="26"/>
      <c r="T747" s="26"/>
      <c r="U747" s="27"/>
      <c r="V747" s="6"/>
      <c r="W747" s="6"/>
      <c r="X747" s="6"/>
      <c r="Y747" s="6"/>
      <c r="Z747" s="6"/>
      <c r="AA747" s="6"/>
      <c r="AB747" s="6"/>
      <c r="AC747" s="6"/>
      <c r="AD747" s="6"/>
    </row>
    <row r="748">
      <c r="A748" s="6"/>
      <c r="B748" s="6"/>
      <c r="C748" s="6"/>
      <c r="D748" s="6"/>
      <c r="E748" s="6"/>
      <c r="F748" s="6"/>
      <c r="G748" s="6"/>
      <c r="H748" s="25"/>
      <c r="I748" s="25"/>
      <c r="J748" s="6"/>
      <c r="K748" s="6"/>
      <c r="L748" s="6"/>
      <c r="M748" s="6"/>
      <c r="N748" s="6"/>
      <c r="O748" s="6"/>
      <c r="P748" s="6"/>
      <c r="Q748" s="6"/>
      <c r="R748" s="6"/>
      <c r="S748" s="26"/>
      <c r="T748" s="26"/>
      <c r="U748" s="27"/>
      <c r="V748" s="6"/>
      <c r="W748" s="6"/>
      <c r="X748" s="6"/>
      <c r="Y748" s="6"/>
      <c r="Z748" s="6"/>
      <c r="AA748" s="6"/>
      <c r="AB748" s="6"/>
      <c r="AC748" s="6"/>
      <c r="AD748" s="6"/>
    </row>
    <row r="749">
      <c r="A749" s="6"/>
      <c r="B749" s="6"/>
      <c r="C749" s="6"/>
      <c r="D749" s="6"/>
      <c r="E749" s="6"/>
      <c r="F749" s="6"/>
      <c r="G749" s="6"/>
      <c r="H749" s="25"/>
      <c r="I749" s="25"/>
      <c r="J749" s="6"/>
      <c r="K749" s="6"/>
      <c r="L749" s="6"/>
      <c r="M749" s="6"/>
      <c r="N749" s="6"/>
      <c r="O749" s="6"/>
      <c r="P749" s="6"/>
      <c r="Q749" s="6"/>
      <c r="R749" s="6"/>
      <c r="S749" s="26"/>
      <c r="T749" s="26"/>
      <c r="U749" s="27"/>
      <c r="V749" s="6"/>
      <c r="W749" s="6"/>
      <c r="X749" s="6"/>
      <c r="Y749" s="6"/>
      <c r="Z749" s="6"/>
      <c r="AA749" s="6"/>
      <c r="AB749" s="6"/>
      <c r="AC749" s="6"/>
      <c r="AD749" s="6"/>
    </row>
    <row r="750">
      <c r="A750" s="6"/>
      <c r="B750" s="6"/>
      <c r="C750" s="6"/>
      <c r="D750" s="6"/>
      <c r="E750" s="6"/>
      <c r="F750" s="6"/>
      <c r="G750" s="6"/>
      <c r="H750" s="25"/>
      <c r="I750" s="25"/>
      <c r="J750" s="6"/>
      <c r="K750" s="6"/>
      <c r="L750" s="6"/>
      <c r="M750" s="6"/>
      <c r="N750" s="6"/>
      <c r="O750" s="6"/>
      <c r="P750" s="6"/>
      <c r="Q750" s="6"/>
      <c r="R750" s="6"/>
      <c r="S750" s="26"/>
      <c r="T750" s="26"/>
      <c r="U750" s="27"/>
      <c r="V750" s="6"/>
      <c r="W750" s="6"/>
      <c r="X750" s="6"/>
      <c r="Y750" s="6"/>
      <c r="Z750" s="6"/>
      <c r="AA750" s="6"/>
      <c r="AB750" s="6"/>
      <c r="AC750" s="6"/>
      <c r="AD750" s="6"/>
    </row>
    <row r="751">
      <c r="A751" s="6"/>
      <c r="B751" s="6"/>
      <c r="C751" s="6"/>
      <c r="D751" s="6"/>
      <c r="E751" s="6"/>
      <c r="F751" s="6"/>
      <c r="G751" s="6"/>
      <c r="H751" s="25"/>
      <c r="I751" s="25"/>
      <c r="J751" s="6"/>
      <c r="K751" s="6"/>
      <c r="L751" s="6"/>
      <c r="M751" s="6"/>
      <c r="N751" s="6"/>
      <c r="O751" s="6"/>
      <c r="P751" s="6"/>
      <c r="Q751" s="6"/>
      <c r="R751" s="6"/>
      <c r="S751" s="26"/>
      <c r="T751" s="26"/>
      <c r="U751" s="27"/>
      <c r="V751" s="6"/>
      <c r="W751" s="6"/>
      <c r="X751" s="6"/>
      <c r="Y751" s="6"/>
      <c r="Z751" s="6"/>
      <c r="AA751" s="6"/>
      <c r="AB751" s="6"/>
      <c r="AC751" s="6"/>
      <c r="AD751" s="6"/>
    </row>
    <row r="752">
      <c r="A752" s="6"/>
      <c r="B752" s="6"/>
      <c r="C752" s="6"/>
      <c r="D752" s="6"/>
      <c r="E752" s="6"/>
      <c r="F752" s="6"/>
      <c r="G752" s="6"/>
      <c r="H752" s="25"/>
      <c r="I752" s="25"/>
      <c r="J752" s="6"/>
      <c r="K752" s="6"/>
      <c r="L752" s="6"/>
      <c r="M752" s="6"/>
      <c r="N752" s="6"/>
      <c r="O752" s="6"/>
      <c r="P752" s="6"/>
      <c r="Q752" s="6"/>
      <c r="R752" s="6"/>
      <c r="S752" s="26"/>
      <c r="T752" s="26"/>
      <c r="U752" s="27"/>
      <c r="V752" s="6"/>
      <c r="W752" s="6"/>
      <c r="X752" s="6"/>
      <c r="Y752" s="6"/>
      <c r="Z752" s="6"/>
      <c r="AA752" s="6"/>
      <c r="AB752" s="6"/>
      <c r="AC752" s="6"/>
      <c r="AD752" s="6"/>
    </row>
    <row r="753">
      <c r="A753" s="6"/>
      <c r="B753" s="6"/>
      <c r="C753" s="6"/>
      <c r="D753" s="6"/>
      <c r="E753" s="6"/>
      <c r="F753" s="6"/>
      <c r="G753" s="6"/>
      <c r="H753" s="25"/>
      <c r="I753" s="25"/>
      <c r="J753" s="6"/>
      <c r="K753" s="6"/>
      <c r="L753" s="6"/>
      <c r="M753" s="6"/>
      <c r="N753" s="6"/>
      <c r="O753" s="6"/>
      <c r="P753" s="6"/>
      <c r="Q753" s="6"/>
      <c r="R753" s="6"/>
      <c r="S753" s="26"/>
      <c r="T753" s="26"/>
      <c r="U753" s="27"/>
      <c r="V753" s="6"/>
      <c r="W753" s="6"/>
      <c r="X753" s="6"/>
      <c r="Y753" s="6"/>
      <c r="Z753" s="6"/>
      <c r="AA753" s="6"/>
      <c r="AB753" s="6"/>
      <c r="AC753" s="6"/>
      <c r="AD753" s="6"/>
    </row>
    <row r="754">
      <c r="A754" s="6"/>
      <c r="B754" s="6"/>
      <c r="C754" s="6"/>
      <c r="D754" s="6"/>
      <c r="E754" s="6"/>
      <c r="F754" s="6"/>
      <c r="G754" s="6"/>
      <c r="H754" s="25"/>
      <c r="I754" s="25"/>
      <c r="J754" s="6"/>
      <c r="K754" s="6"/>
      <c r="L754" s="6"/>
      <c r="M754" s="6"/>
      <c r="N754" s="6"/>
      <c r="O754" s="6"/>
      <c r="P754" s="6"/>
      <c r="Q754" s="6"/>
      <c r="R754" s="6"/>
      <c r="S754" s="26"/>
      <c r="T754" s="26"/>
      <c r="U754" s="27"/>
      <c r="V754" s="6"/>
      <c r="W754" s="6"/>
      <c r="X754" s="6"/>
      <c r="Y754" s="6"/>
      <c r="Z754" s="6"/>
      <c r="AA754" s="6"/>
      <c r="AB754" s="6"/>
      <c r="AC754" s="6"/>
      <c r="AD754" s="6"/>
    </row>
    <row r="755">
      <c r="A755" s="6"/>
      <c r="B755" s="6"/>
      <c r="C755" s="6"/>
      <c r="D755" s="6"/>
      <c r="E755" s="6"/>
      <c r="F755" s="6"/>
      <c r="G755" s="6"/>
      <c r="H755" s="25"/>
      <c r="I755" s="25"/>
      <c r="J755" s="6"/>
      <c r="K755" s="6"/>
      <c r="L755" s="6"/>
      <c r="M755" s="6"/>
      <c r="N755" s="6"/>
      <c r="O755" s="6"/>
      <c r="P755" s="6"/>
      <c r="Q755" s="6"/>
      <c r="R755" s="6"/>
      <c r="S755" s="26"/>
      <c r="T755" s="26"/>
      <c r="U755" s="27"/>
      <c r="V755" s="6"/>
      <c r="W755" s="6"/>
      <c r="X755" s="6"/>
      <c r="Y755" s="6"/>
      <c r="Z755" s="6"/>
      <c r="AA755" s="6"/>
      <c r="AB755" s="6"/>
      <c r="AC755" s="6"/>
      <c r="AD755" s="6"/>
    </row>
    <row r="756">
      <c r="A756" s="6"/>
      <c r="B756" s="6"/>
      <c r="C756" s="6"/>
      <c r="D756" s="6"/>
      <c r="E756" s="6"/>
      <c r="F756" s="6"/>
      <c r="G756" s="6"/>
      <c r="H756" s="25"/>
      <c r="I756" s="25"/>
      <c r="J756" s="6"/>
      <c r="K756" s="6"/>
      <c r="L756" s="6"/>
      <c r="M756" s="6"/>
      <c r="N756" s="6"/>
      <c r="O756" s="6"/>
      <c r="P756" s="6"/>
      <c r="Q756" s="6"/>
      <c r="R756" s="6"/>
      <c r="S756" s="26"/>
      <c r="T756" s="26"/>
      <c r="U756" s="27"/>
      <c r="V756" s="6"/>
      <c r="W756" s="6"/>
      <c r="X756" s="6"/>
      <c r="Y756" s="6"/>
      <c r="Z756" s="6"/>
      <c r="AA756" s="6"/>
      <c r="AB756" s="6"/>
      <c r="AC756" s="6"/>
      <c r="AD756" s="6"/>
    </row>
    <row r="757">
      <c r="A757" s="6"/>
      <c r="B757" s="6"/>
      <c r="C757" s="6"/>
      <c r="D757" s="6"/>
      <c r="E757" s="6"/>
      <c r="F757" s="6"/>
      <c r="G757" s="6"/>
      <c r="H757" s="25"/>
      <c r="I757" s="25"/>
      <c r="J757" s="6"/>
      <c r="K757" s="6"/>
      <c r="L757" s="6"/>
      <c r="M757" s="6"/>
      <c r="N757" s="6"/>
      <c r="O757" s="6"/>
      <c r="P757" s="6"/>
      <c r="Q757" s="6"/>
      <c r="R757" s="6"/>
      <c r="S757" s="26"/>
      <c r="T757" s="26"/>
      <c r="U757" s="27"/>
      <c r="V757" s="6"/>
      <c r="W757" s="6"/>
      <c r="X757" s="6"/>
      <c r="Y757" s="6"/>
      <c r="Z757" s="6"/>
      <c r="AA757" s="6"/>
      <c r="AB757" s="6"/>
      <c r="AC757" s="6"/>
      <c r="AD757" s="6"/>
    </row>
    <row r="758">
      <c r="A758" s="6"/>
      <c r="B758" s="6"/>
      <c r="C758" s="6"/>
      <c r="D758" s="6"/>
      <c r="E758" s="6"/>
      <c r="F758" s="6"/>
      <c r="G758" s="6"/>
      <c r="H758" s="25"/>
      <c r="I758" s="25"/>
      <c r="J758" s="6"/>
      <c r="K758" s="6"/>
      <c r="L758" s="6"/>
      <c r="M758" s="6"/>
      <c r="N758" s="6"/>
      <c r="O758" s="6"/>
      <c r="P758" s="6"/>
      <c r="Q758" s="6"/>
      <c r="R758" s="6"/>
      <c r="S758" s="26"/>
      <c r="T758" s="26"/>
      <c r="U758" s="27"/>
      <c r="V758" s="6"/>
      <c r="W758" s="6"/>
      <c r="X758" s="6"/>
      <c r="Y758" s="6"/>
      <c r="Z758" s="6"/>
      <c r="AA758" s="6"/>
      <c r="AB758" s="6"/>
      <c r="AC758" s="6"/>
      <c r="AD758" s="6"/>
    </row>
    <row r="759">
      <c r="A759" s="6"/>
      <c r="B759" s="6"/>
      <c r="C759" s="6"/>
      <c r="D759" s="6"/>
      <c r="E759" s="6"/>
      <c r="F759" s="6"/>
      <c r="G759" s="6"/>
      <c r="H759" s="25"/>
      <c r="I759" s="25"/>
      <c r="J759" s="6"/>
      <c r="K759" s="6"/>
      <c r="L759" s="6"/>
      <c r="M759" s="6"/>
      <c r="N759" s="6"/>
      <c r="O759" s="6"/>
      <c r="P759" s="6"/>
      <c r="Q759" s="6"/>
      <c r="R759" s="6"/>
      <c r="S759" s="26"/>
      <c r="T759" s="26"/>
      <c r="U759" s="27"/>
      <c r="V759" s="6"/>
      <c r="W759" s="6"/>
      <c r="X759" s="6"/>
      <c r="Y759" s="6"/>
      <c r="Z759" s="6"/>
      <c r="AA759" s="6"/>
      <c r="AB759" s="6"/>
      <c r="AC759" s="6"/>
      <c r="AD759" s="6"/>
    </row>
    <row r="760">
      <c r="A760" s="6"/>
      <c r="B760" s="6"/>
      <c r="C760" s="6"/>
      <c r="D760" s="6"/>
      <c r="E760" s="6"/>
      <c r="F760" s="6"/>
      <c r="G760" s="6"/>
      <c r="H760" s="25"/>
      <c r="I760" s="25"/>
      <c r="J760" s="6"/>
      <c r="K760" s="6"/>
      <c r="L760" s="6"/>
      <c r="M760" s="6"/>
      <c r="N760" s="6"/>
      <c r="O760" s="6"/>
      <c r="P760" s="6"/>
      <c r="Q760" s="6"/>
      <c r="R760" s="6"/>
      <c r="S760" s="26"/>
      <c r="T760" s="26"/>
      <c r="U760" s="27"/>
      <c r="V760" s="6"/>
      <c r="W760" s="6"/>
      <c r="X760" s="6"/>
      <c r="Y760" s="6"/>
      <c r="Z760" s="6"/>
      <c r="AA760" s="6"/>
      <c r="AB760" s="6"/>
      <c r="AC760" s="6"/>
      <c r="AD760" s="6"/>
    </row>
    <row r="761">
      <c r="A761" s="6"/>
      <c r="B761" s="6"/>
      <c r="C761" s="6"/>
      <c r="D761" s="6"/>
      <c r="E761" s="6"/>
      <c r="F761" s="6"/>
      <c r="G761" s="6"/>
      <c r="H761" s="25"/>
      <c r="I761" s="25"/>
      <c r="J761" s="6"/>
      <c r="K761" s="6"/>
      <c r="L761" s="6"/>
      <c r="M761" s="6"/>
      <c r="N761" s="6"/>
      <c r="O761" s="6"/>
      <c r="P761" s="6"/>
      <c r="Q761" s="6"/>
      <c r="R761" s="6"/>
      <c r="S761" s="26"/>
      <c r="T761" s="26"/>
      <c r="U761" s="27"/>
      <c r="V761" s="6"/>
      <c r="W761" s="6"/>
      <c r="X761" s="6"/>
      <c r="Y761" s="6"/>
      <c r="Z761" s="6"/>
      <c r="AA761" s="6"/>
      <c r="AB761" s="6"/>
      <c r="AC761" s="6"/>
      <c r="AD761" s="6"/>
    </row>
    <row r="762">
      <c r="A762" s="6"/>
      <c r="B762" s="6"/>
      <c r="C762" s="6"/>
      <c r="D762" s="6"/>
      <c r="E762" s="6"/>
      <c r="F762" s="6"/>
      <c r="G762" s="6"/>
      <c r="H762" s="25"/>
      <c r="I762" s="25"/>
      <c r="J762" s="6"/>
      <c r="K762" s="6"/>
      <c r="L762" s="6"/>
      <c r="M762" s="6"/>
      <c r="N762" s="6"/>
      <c r="O762" s="6"/>
      <c r="P762" s="6"/>
      <c r="Q762" s="6"/>
      <c r="R762" s="6"/>
      <c r="S762" s="26"/>
      <c r="T762" s="26"/>
      <c r="U762" s="27"/>
      <c r="V762" s="6"/>
      <c r="W762" s="6"/>
      <c r="X762" s="6"/>
      <c r="Y762" s="6"/>
      <c r="Z762" s="6"/>
      <c r="AA762" s="6"/>
      <c r="AB762" s="6"/>
      <c r="AC762" s="6"/>
      <c r="AD762" s="6"/>
    </row>
    <row r="763">
      <c r="A763" s="6"/>
      <c r="B763" s="6"/>
      <c r="C763" s="6"/>
      <c r="D763" s="6"/>
      <c r="E763" s="6"/>
      <c r="F763" s="6"/>
      <c r="G763" s="6"/>
      <c r="H763" s="25"/>
      <c r="I763" s="25"/>
      <c r="J763" s="6"/>
      <c r="K763" s="6"/>
      <c r="L763" s="6"/>
      <c r="M763" s="6"/>
      <c r="N763" s="6"/>
      <c r="O763" s="6"/>
      <c r="P763" s="6"/>
      <c r="Q763" s="6"/>
      <c r="R763" s="6"/>
      <c r="S763" s="26"/>
      <c r="T763" s="26"/>
      <c r="U763" s="27"/>
      <c r="V763" s="6"/>
      <c r="W763" s="6"/>
      <c r="X763" s="6"/>
      <c r="Y763" s="6"/>
      <c r="Z763" s="6"/>
      <c r="AA763" s="6"/>
      <c r="AB763" s="6"/>
      <c r="AC763" s="6"/>
      <c r="AD763" s="6"/>
    </row>
    <row r="764">
      <c r="A764" s="6"/>
      <c r="B764" s="6"/>
      <c r="C764" s="6"/>
      <c r="D764" s="6"/>
      <c r="E764" s="6"/>
      <c r="F764" s="6"/>
      <c r="G764" s="6"/>
      <c r="H764" s="25"/>
      <c r="I764" s="25"/>
      <c r="J764" s="6"/>
      <c r="K764" s="6"/>
      <c r="L764" s="6"/>
      <c r="M764" s="6"/>
      <c r="N764" s="6"/>
      <c r="O764" s="6"/>
      <c r="P764" s="6"/>
      <c r="Q764" s="6"/>
      <c r="R764" s="6"/>
      <c r="S764" s="26"/>
      <c r="T764" s="26"/>
      <c r="U764" s="27"/>
      <c r="V764" s="6"/>
      <c r="W764" s="6"/>
      <c r="X764" s="6"/>
      <c r="Y764" s="6"/>
      <c r="Z764" s="6"/>
      <c r="AA764" s="6"/>
      <c r="AB764" s="6"/>
      <c r="AC764" s="6"/>
      <c r="AD764" s="6"/>
    </row>
    <row r="765">
      <c r="A765" s="6"/>
      <c r="B765" s="6"/>
      <c r="C765" s="6"/>
      <c r="D765" s="6"/>
      <c r="E765" s="6"/>
      <c r="F765" s="6"/>
      <c r="G765" s="6"/>
      <c r="H765" s="25"/>
      <c r="I765" s="25"/>
      <c r="J765" s="6"/>
      <c r="K765" s="6"/>
      <c r="L765" s="6"/>
      <c r="M765" s="6"/>
      <c r="N765" s="6"/>
      <c r="O765" s="6"/>
      <c r="P765" s="6"/>
      <c r="Q765" s="6"/>
      <c r="R765" s="6"/>
      <c r="S765" s="26"/>
      <c r="T765" s="26"/>
      <c r="U765" s="27"/>
      <c r="V765" s="6"/>
      <c r="W765" s="6"/>
      <c r="X765" s="6"/>
      <c r="Y765" s="6"/>
      <c r="Z765" s="6"/>
      <c r="AA765" s="6"/>
      <c r="AB765" s="6"/>
      <c r="AC765" s="6"/>
      <c r="AD765" s="6"/>
    </row>
    <row r="766">
      <c r="A766" s="6"/>
      <c r="B766" s="6"/>
      <c r="C766" s="6"/>
      <c r="D766" s="6"/>
      <c r="E766" s="6"/>
      <c r="F766" s="6"/>
      <c r="G766" s="6"/>
      <c r="H766" s="25"/>
      <c r="I766" s="25"/>
      <c r="J766" s="6"/>
      <c r="K766" s="6"/>
      <c r="L766" s="6"/>
      <c r="M766" s="6"/>
      <c r="N766" s="6"/>
      <c r="O766" s="6"/>
      <c r="P766" s="6"/>
      <c r="Q766" s="6"/>
      <c r="R766" s="6"/>
      <c r="S766" s="26"/>
      <c r="T766" s="26"/>
      <c r="U766" s="27"/>
      <c r="V766" s="6"/>
      <c r="W766" s="6"/>
      <c r="X766" s="6"/>
      <c r="Y766" s="6"/>
      <c r="Z766" s="6"/>
      <c r="AA766" s="6"/>
      <c r="AB766" s="6"/>
      <c r="AC766" s="6"/>
      <c r="AD766" s="6"/>
    </row>
    <row r="767">
      <c r="A767" s="6"/>
      <c r="B767" s="6"/>
      <c r="C767" s="6"/>
      <c r="D767" s="6"/>
      <c r="E767" s="6"/>
      <c r="F767" s="6"/>
      <c r="G767" s="6"/>
      <c r="H767" s="25"/>
      <c r="I767" s="25"/>
      <c r="J767" s="6"/>
      <c r="K767" s="6"/>
      <c r="L767" s="6"/>
      <c r="M767" s="6"/>
      <c r="N767" s="6"/>
      <c r="O767" s="6"/>
      <c r="P767" s="6"/>
      <c r="Q767" s="6"/>
      <c r="R767" s="6"/>
      <c r="S767" s="26"/>
      <c r="T767" s="26"/>
      <c r="U767" s="27"/>
      <c r="V767" s="6"/>
      <c r="W767" s="6"/>
      <c r="X767" s="6"/>
      <c r="Y767" s="6"/>
      <c r="Z767" s="6"/>
      <c r="AA767" s="6"/>
      <c r="AB767" s="6"/>
      <c r="AC767" s="6"/>
      <c r="AD767" s="6"/>
    </row>
    <row r="768">
      <c r="A768" s="6"/>
      <c r="B768" s="6"/>
      <c r="C768" s="6"/>
      <c r="D768" s="6"/>
      <c r="E768" s="6"/>
      <c r="F768" s="6"/>
      <c r="G768" s="6"/>
      <c r="H768" s="25"/>
      <c r="I768" s="25"/>
      <c r="J768" s="6"/>
      <c r="K768" s="6"/>
      <c r="L768" s="6"/>
      <c r="M768" s="6"/>
      <c r="N768" s="6"/>
      <c r="O768" s="6"/>
      <c r="P768" s="6"/>
      <c r="Q768" s="6"/>
      <c r="R768" s="6"/>
      <c r="S768" s="26"/>
      <c r="T768" s="26"/>
      <c r="U768" s="27"/>
      <c r="V768" s="6"/>
      <c r="W768" s="6"/>
      <c r="X768" s="6"/>
      <c r="Y768" s="6"/>
      <c r="Z768" s="6"/>
      <c r="AA768" s="6"/>
      <c r="AB768" s="6"/>
      <c r="AC768" s="6"/>
      <c r="AD768" s="6"/>
    </row>
    <row r="769">
      <c r="A769" s="6"/>
      <c r="B769" s="6"/>
      <c r="C769" s="6"/>
      <c r="D769" s="6"/>
      <c r="E769" s="6"/>
      <c r="F769" s="6"/>
      <c r="G769" s="6"/>
      <c r="H769" s="25"/>
      <c r="I769" s="25"/>
      <c r="J769" s="6"/>
      <c r="K769" s="6"/>
      <c r="L769" s="6"/>
      <c r="M769" s="6"/>
      <c r="N769" s="6"/>
      <c r="O769" s="6"/>
      <c r="P769" s="6"/>
      <c r="Q769" s="6"/>
      <c r="R769" s="6"/>
      <c r="S769" s="26"/>
      <c r="T769" s="26"/>
      <c r="U769" s="27"/>
      <c r="V769" s="6"/>
      <c r="W769" s="6"/>
      <c r="X769" s="6"/>
      <c r="Y769" s="6"/>
      <c r="Z769" s="6"/>
      <c r="AA769" s="6"/>
      <c r="AB769" s="6"/>
      <c r="AC769" s="6"/>
      <c r="AD769" s="6"/>
    </row>
    <row r="770">
      <c r="A770" s="6"/>
      <c r="B770" s="6"/>
      <c r="C770" s="6"/>
      <c r="D770" s="6"/>
      <c r="E770" s="6"/>
      <c r="F770" s="6"/>
      <c r="G770" s="6"/>
      <c r="H770" s="25"/>
      <c r="I770" s="25"/>
      <c r="J770" s="6"/>
      <c r="K770" s="6"/>
      <c r="L770" s="6"/>
      <c r="M770" s="6"/>
      <c r="N770" s="6"/>
      <c r="O770" s="6"/>
      <c r="P770" s="6"/>
      <c r="Q770" s="6"/>
      <c r="R770" s="6"/>
      <c r="S770" s="26"/>
      <c r="T770" s="26"/>
      <c r="U770" s="27"/>
      <c r="V770" s="6"/>
      <c r="W770" s="6"/>
      <c r="X770" s="6"/>
      <c r="Y770" s="6"/>
      <c r="Z770" s="6"/>
      <c r="AA770" s="6"/>
      <c r="AB770" s="6"/>
      <c r="AC770" s="6"/>
      <c r="AD770" s="6"/>
    </row>
    <row r="771">
      <c r="A771" s="6"/>
      <c r="B771" s="6"/>
      <c r="C771" s="6"/>
      <c r="D771" s="6"/>
      <c r="E771" s="6"/>
      <c r="F771" s="6"/>
      <c r="G771" s="6"/>
      <c r="H771" s="25"/>
      <c r="I771" s="25"/>
      <c r="J771" s="6"/>
      <c r="K771" s="6"/>
      <c r="L771" s="6"/>
      <c r="M771" s="6"/>
      <c r="N771" s="6"/>
      <c r="O771" s="6"/>
      <c r="P771" s="6"/>
      <c r="Q771" s="6"/>
      <c r="R771" s="6"/>
      <c r="S771" s="26"/>
      <c r="T771" s="26"/>
      <c r="U771" s="27"/>
      <c r="V771" s="6"/>
      <c r="W771" s="6"/>
      <c r="X771" s="6"/>
      <c r="Y771" s="6"/>
      <c r="Z771" s="6"/>
      <c r="AA771" s="6"/>
      <c r="AB771" s="6"/>
      <c r="AC771" s="6"/>
      <c r="AD771" s="6"/>
    </row>
    <row r="772">
      <c r="A772" s="6"/>
      <c r="B772" s="6"/>
      <c r="C772" s="6"/>
      <c r="D772" s="6"/>
      <c r="E772" s="6"/>
      <c r="F772" s="6"/>
      <c r="G772" s="6"/>
      <c r="H772" s="25"/>
      <c r="I772" s="25"/>
      <c r="J772" s="6"/>
      <c r="K772" s="6"/>
      <c r="L772" s="6"/>
      <c r="M772" s="6"/>
      <c r="N772" s="6"/>
      <c r="O772" s="6"/>
      <c r="P772" s="6"/>
      <c r="Q772" s="6"/>
      <c r="R772" s="6"/>
      <c r="S772" s="26"/>
      <c r="T772" s="26"/>
      <c r="U772" s="27"/>
      <c r="V772" s="6"/>
      <c r="W772" s="6"/>
      <c r="X772" s="6"/>
      <c r="Y772" s="6"/>
      <c r="Z772" s="6"/>
      <c r="AA772" s="6"/>
      <c r="AB772" s="6"/>
      <c r="AC772" s="6"/>
      <c r="AD772" s="6"/>
    </row>
    <row r="773">
      <c r="A773" s="6"/>
      <c r="B773" s="6"/>
      <c r="C773" s="6"/>
      <c r="D773" s="6"/>
      <c r="E773" s="6"/>
      <c r="F773" s="6"/>
      <c r="G773" s="6"/>
      <c r="H773" s="25"/>
      <c r="I773" s="25"/>
      <c r="J773" s="6"/>
      <c r="K773" s="6"/>
      <c r="L773" s="6"/>
      <c r="M773" s="6"/>
      <c r="N773" s="6"/>
      <c r="O773" s="6"/>
      <c r="P773" s="6"/>
      <c r="Q773" s="6"/>
      <c r="R773" s="6"/>
      <c r="S773" s="26"/>
      <c r="T773" s="26"/>
      <c r="U773" s="27"/>
      <c r="V773" s="6"/>
      <c r="W773" s="6"/>
      <c r="X773" s="6"/>
      <c r="Y773" s="6"/>
      <c r="Z773" s="6"/>
      <c r="AA773" s="6"/>
      <c r="AB773" s="6"/>
      <c r="AC773" s="6"/>
      <c r="AD773" s="6"/>
    </row>
    <row r="774">
      <c r="A774" s="6"/>
      <c r="B774" s="6"/>
      <c r="C774" s="6"/>
      <c r="D774" s="6"/>
      <c r="E774" s="6"/>
      <c r="F774" s="6"/>
      <c r="G774" s="6"/>
      <c r="H774" s="25"/>
      <c r="I774" s="25"/>
      <c r="J774" s="6"/>
      <c r="K774" s="6"/>
      <c r="L774" s="6"/>
      <c r="M774" s="6"/>
      <c r="N774" s="6"/>
      <c r="O774" s="6"/>
      <c r="P774" s="6"/>
      <c r="Q774" s="6"/>
      <c r="R774" s="6"/>
      <c r="S774" s="26"/>
      <c r="T774" s="26"/>
      <c r="U774" s="27"/>
      <c r="V774" s="6"/>
      <c r="W774" s="6"/>
      <c r="X774" s="6"/>
      <c r="Y774" s="6"/>
      <c r="Z774" s="6"/>
      <c r="AA774" s="6"/>
      <c r="AB774" s="6"/>
      <c r="AC774" s="6"/>
      <c r="AD774" s="6"/>
    </row>
    <row r="775">
      <c r="A775" s="6"/>
      <c r="B775" s="6"/>
      <c r="C775" s="6"/>
      <c r="D775" s="6"/>
      <c r="E775" s="6"/>
      <c r="F775" s="6"/>
      <c r="G775" s="6"/>
      <c r="H775" s="25"/>
      <c r="I775" s="25"/>
      <c r="J775" s="6"/>
      <c r="K775" s="6"/>
      <c r="L775" s="6"/>
      <c r="M775" s="6"/>
      <c r="N775" s="6"/>
      <c r="O775" s="6"/>
      <c r="P775" s="6"/>
      <c r="Q775" s="6"/>
      <c r="R775" s="6"/>
      <c r="S775" s="26"/>
      <c r="T775" s="26"/>
      <c r="U775" s="27"/>
      <c r="V775" s="6"/>
      <c r="W775" s="6"/>
      <c r="X775" s="6"/>
      <c r="Y775" s="6"/>
      <c r="Z775" s="6"/>
      <c r="AA775" s="6"/>
      <c r="AB775" s="6"/>
      <c r="AC775" s="6"/>
      <c r="AD775" s="6"/>
    </row>
    <row r="776">
      <c r="A776" s="6"/>
      <c r="B776" s="6"/>
      <c r="C776" s="6"/>
      <c r="D776" s="6"/>
      <c r="E776" s="6"/>
      <c r="F776" s="6"/>
      <c r="G776" s="6"/>
      <c r="H776" s="25"/>
      <c r="I776" s="25"/>
      <c r="J776" s="6"/>
      <c r="K776" s="6"/>
      <c r="L776" s="6"/>
      <c r="M776" s="6"/>
      <c r="N776" s="6"/>
      <c r="O776" s="6"/>
      <c r="P776" s="6"/>
      <c r="Q776" s="6"/>
      <c r="R776" s="6"/>
      <c r="S776" s="26"/>
      <c r="T776" s="26"/>
      <c r="U776" s="27"/>
      <c r="V776" s="6"/>
      <c r="W776" s="6"/>
      <c r="X776" s="6"/>
      <c r="Y776" s="6"/>
      <c r="Z776" s="6"/>
      <c r="AA776" s="6"/>
      <c r="AB776" s="6"/>
      <c r="AC776" s="6"/>
      <c r="AD776" s="6"/>
    </row>
    <row r="777">
      <c r="A777" s="6"/>
      <c r="B777" s="6"/>
      <c r="C777" s="6"/>
      <c r="D777" s="6"/>
      <c r="E777" s="6"/>
      <c r="F777" s="6"/>
      <c r="G777" s="6"/>
      <c r="H777" s="25"/>
      <c r="I777" s="25"/>
      <c r="J777" s="6"/>
      <c r="K777" s="6"/>
      <c r="L777" s="6"/>
      <c r="M777" s="6"/>
      <c r="N777" s="6"/>
      <c r="O777" s="6"/>
      <c r="P777" s="6"/>
      <c r="Q777" s="6"/>
      <c r="R777" s="6"/>
      <c r="S777" s="26"/>
      <c r="T777" s="26"/>
      <c r="U777" s="27"/>
      <c r="V777" s="6"/>
      <c r="W777" s="6"/>
      <c r="X777" s="6"/>
      <c r="Y777" s="6"/>
      <c r="Z777" s="6"/>
      <c r="AA777" s="6"/>
      <c r="AB777" s="6"/>
      <c r="AC777" s="6"/>
      <c r="AD777" s="6"/>
    </row>
    <row r="778">
      <c r="A778" s="6"/>
      <c r="B778" s="6"/>
      <c r="C778" s="6"/>
      <c r="D778" s="6"/>
      <c r="E778" s="6"/>
      <c r="F778" s="6"/>
      <c r="G778" s="6"/>
      <c r="H778" s="25"/>
      <c r="I778" s="25"/>
      <c r="J778" s="6"/>
      <c r="K778" s="6"/>
      <c r="L778" s="6"/>
      <c r="M778" s="6"/>
      <c r="N778" s="6"/>
      <c r="O778" s="6"/>
      <c r="P778" s="6"/>
      <c r="Q778" s="6"/>
      <c r="R778" s="6"/>
      <c r="S778" s="26"/>
      <c r="T778" s="26"/>
      <c r="U778" s="27"/>
      <c r="V778" s="6"/>
      <c r="W778" s="6"/>
      <c r="X778" s="6"/>
      <c r="Y778" s="6"/>
      <c r="Z778" s="6"/>
      <c r="AA778" s="6"/>
      <c r="AB778" s="6"/>
      <c r="AC778" s="6"/>
      <c r="AD778" s="6"/>
    </row>
    <row r="779">
      <c r="A779" s="6"/>
      <c r="B779" s="6"/>
      <c r="C779" s="6"/>
      <c r="D779" s="6"/>
      <c r="E779" s="6"/>
      <c r="F779" s="6"/>
      <c r="G779" s="6"/>
      <c r="H779" s="25"/>
      <c r="I779" s="25"/>
      <c r="J779" s="6"/>
      <c r="K779" s="6"/>
      <c r="L779" s="6"/>
      <c r="M779" s="6"/>
      <c r="N779" s="6"/>
      <c r="O779" s="6"/>
      <c r="P779" s="6"/>
      <c r="Q779" s="6"/>
      <c r="R779" s="6"/>
      <c r="S779" s="26"/>
      <c r="T779" s="26"/>
      <c r="U779" s="27"/>
      <c r="V779" s="6"/>
      <c r="W779" s="6"/>
      <c r="X779" s="6"/>
      <c r="Y779" s="6"/>
      <c r="Z779" s="6"/>
      <c r="AA779" s="6"/>
      <c r="AB779" s="6"/>
      <c r="AC779" s="6"/>
      <c r="AD779" s="6"/>
    </row>
    <row r="780">
      <c r="A780" s="6"/>
      <c r="B780" s="6"/>
      <c r="C780" s="6"/>
      <c r="D780" s="6"/>
      <c r="E780" s="6"/>
      <c r="F780" s="6"/>
      <c r="G780" s="6"/>
      <c r="H780" s="25"/>
      <c r="I780" s="25"/>
      <c r="J780" s="6"/>
      <c r="K780" s="6"/>
      <c r="L780" s="6"/>
      <c r="M780" s="6"/>
      <c r="N780" s="6"/>
      <c r="O780" s="6"/>
      <c r="P780" s="6"/>
      <c r="Q780" s="6"/>
      <c r="R780" s="6"/>
      <c r="S780" s="26"/>
      <c r="T780" s="26"/>
      <c r="U780" s="27"/>
      <c r="V780" s="6"/>
      <c r="W780" s="6"/>
      <c r="X780" s="6"/>
      <c r="Y780" s="6"/>
      <c r="Z780" s="6"/>
      <c r="AA780" s="6"/>
      <c r="AB780" s="6"/>
      <c r="AC780" s="6"/>
      <c r="AD780" s="6"/>
    </row>
    <row r="781">
      <c r="A781" s="6"/>
      <c r="B781" s="6"/>
      <c r="C781" s="6"/>
      <c r="D781" s="6"/>
      <c r="E781" s="6"/>
      <c r="F781" s="6"/>
      <c r="G781" s="6"/>
      <c r="H781" s="25"/>
      <c r="I781" s="25"/>
      <c r="J781" s="6"/>
      <c r="K781" s="6"/>
      <c r="L781" s="6"/>
      <c r="M781" s="6"/>
      <c r="N781" s="6"/>
      <c r="O781" s="6"/>
      <c r="P781" s="6"/>
      <c r="Q781" s="6"/>
      <c r="R781" s="6"/>
      <c r="S781" s="26"/>
      <c r="T781" s="26"/>
      <c r="U781" s="27"/>
      <c r="V781" s="6"/>
      <c r="W781" s="6"/>
      <c r="X781" s="6"/>
      <c r="Y781" s="6"/>
      <c r="Z781" s="6"/>
      <c r="AA781" s="6"/>
      <c r="AB781" s="6"/>
      <c r="AC781" s="6"/>
      <c r="AD781" s="6"/>
    </row>
    <row r="782">
      <c r="A782" s="6"/>
      <c r="B782" s="6"/>
      <c r="C782" s="6"/>
      <c r="D782" s="6"/>
      <c r="E782" s="6"/>
      <c r="F782" s="6"/>
      <c r="G782" s="6"/>
      <c r="H782" s="25"/>
      <c r="I782" s="25"/>
      <c r="J782" s="6"/>
      <c r="K782" s="6"/>
      <c r="L782" s="6"/>
      <c r="M782" s="6"/>
      <c r="N782" s="6"/>
      <c r="O782" s="6"/>
      <c r="P782" s="6"/>
      <c r="Q782" s="6"/>
      <c r="R782" s="6"/>
      <c r="S782" s="26"/>
      <c r="T782" s="26"/>
      <c r="U782" s="27"/>
      <c r="V782" s="6"/>
      <c r="W782" s="6"/>
      <c r="X782" s="6"/>
      <c r="Y782" s="6"/>
      <c r="Z782" s="6"/>
      <c r="AA782" s="6"/>
      <c r="AB782" s="6"/>
      <c r="AC782" s="6"/>
      <c r="AD782" s="6"/>
    </row>
    <row r="783">
      <c r="A783" s="6"/>
      <c r="B783" s="6"/>
      <c r="C783" s="6"/>
      <c r="D783" s="6"/>
      <c r="E783" s="6"/>
      <c r="F783" s="6"/>
      <c r="G783" s="6"/>
      <c r="H783" s="25"/>
      <c r="I783" s="25"/>
      <c r="J783" s="6"/>
      <c r="K783" s="6"/>
      <c r="L783" s="6"/>
      <c r="M783" s="6"/>
      <c r="N783" s="6"/>
      <c r="O783" s="6"/>
      <c r="P783" s="6"/>
      <c r="Q783" s="6"/>
      <c r="R783" s="6"/>
      <c r="S783" s="26"/>
      <c r="T783" s="26"/>
      <c r="U783" s="27"/>
      <c r="V783" s="6"/>
      <c r="W783" s="6"/>
      <c r="X783" s="6"/>
      <c r="Y783" s="6"/>
      <c r="Z783" s="6"/>
      <c r="AA783" s="6"/>
      <c r="AB783" s="6"/>
      <c r="AC783" s="6"/>
      <c r="AD783" s="6"/>
    </row>
    <row r="784">
      <c r="A784" s="6"/>
      <c r="B784" s="6"/>
      <c r="C784" s="6"/>
      <c r="D784" s="6"/>
      <c r="E784" s="6"/>
      <c r="F784" s="6"/>
      <c r="G784" s="6"/>
      <c r="H784" s="25"/>
      <c r="I784" s="25"/>
      <c r="J784" s="6"/>
      <c r="K784" s="6"/>
      <c r="L784" s="6"/>
      <c r="M784" s="6"/>
      <c r="N784" s="6"/>
      <c r="O784" s="6"/>
      <c r="P784" s="6"/>
      <c r="Q784" s="6"/>
      <c r="R784" s="6"/>
      <c r="S784" s="26"/>
      <c r="T784" s="26"/>
      <c r="U784" s="27"/>
      <c r="V784" s="6"/>
      <c r="W784" s="6"/>
      <c r="X784" s="6"/>
      <c r="Y784" s="6"/>
      <c r="Z784" s="6"/>
      <c r="AA784" s="6"/>
      <c r="AB784" s="6"/>
      <c r="AC784" s="6"/>
      <c r="AD784" s="6"/>
    </row>
    <row r="785">
      <c r="A785" s="6"/>
      <c r="B785" s="6"/>
      <c r="C785" s="6"/>
      <c r="D785" s="6"/>
      <c r="E785" s="6"/>
      <c r="F785" s="6"/>
      <c r="G785" s="6"/>
      <c r="H785" s="25"/>
      <c r="I785" s="25"/>
      <c r="J785" s="6"/>
      <c r="K785" s="6"/>
      <c r="L785" s="6"/>
      <c r="M785" s="6"/>
      <c r="N785" s="6"/>
      <c r="O785" s="6"/>
      <c r="P785" s="6"/>
      <c r="Q785" s="6"/>
      <c r="R785" s="6"/>
      <c r="S785" s="26"/>
      <c r="T785" s="26"/>
      <c r="U785" s="27"/>
      <c r="V785" s="6"/>
      <c r="W785" s="6"/>
      <c r="X785" s="6"/>
      <c r="Y785" s="6"/>
      <c r="Z785" s="6"/>
      <c r="AA785" s="6"/>
      <c r="AB785" s="6"/>
      <c r="AC785" s="6"/>
      <c r="AD785" s="6"/>
    </row>
    <row r="786">
      <c r="A786" s="6"/>
      <c r="B786" s="6"/>
      <c r="C786" s="6"/>
      <c r="D786" s="6"/>
      <c r="E786" s="6"/>
      <c r="F786" s="6"/>
      <c r="G786" s="6"/>
      <c r="H786" s="25"/>
      <c r="I786" s="25"/>
      <c r="J786" s="6"/>
      <c r="K786" s="6"/>
      <c r="L786" s="6"/>
      <c r="M786" s="6"/>
      <c r="N786" s="6"/>
      <c r="O786" s="6"/>
      <c r="P786" s="6"/>
      <c r="Q786" s="6"/>
      <c r="R786" s="6"/>
      <c r="S786" s="26"/>
      <c r="T786" s="26"/>
      <c r="U786" s="27"/>
      <c r="V786" s="6"/>
      <c r="W786" s="6"/>
      <c r="X786" s="6"/>
      <c r="Y786" s="6"/>
      <c r="Z786" s="6"/>
      <c r="AA786" s="6"/>
      <c r="AB786" s="6"/>
      <c r="AC786" s="6"/>
      <c r="AD786" s="6"/>
    </row>
    <row r="787">
      <c r="A787" s="6"/>
      <c r="B787" s="6"/>
      <c r="C787" s="6"/>
      <c r="D787" s="6"/>
      <c r="E787" s="6"/>
      <c r="F787" s="6"/>
      <c r="G787" s="6"/>
      <c r="H787" s="25"/>
      <c r="I787" s="25"/>
      <c r="J787" s="6"/>
      <c r="K787" s="6"/>
      <c r="L787" s="6"/>
      <c r="M787" s="6"/>
      <c r="N787" s="6"/>
      <c r="O787" s="6"/>
      <c r="P787" s="6"/>
      <c r="Q787" s="6"/>
      <c r="R787" s="6"/>
      <c r="S787" s="26"/>
      <c r="T787" s="26"/>
      <c r="U787" s="27"/>
      <c r="V787" s="6"/>
      <c r="W787" s="6"/>
      <c r="X787" s="6"/>
      <c r="Y787" s="6"/>
      <c r="Z787" s="6"/>
      <c r="AA787" s="6"/>
      <c r="AB787" s="6"/>
      <c r="AC787" s="6"/>
      <c r="AD787" s="6"/>
    </row>
    <row r="788">
      <c r="A788" s="6"/>
      <c r="B788" s="6"/>
      <c r="C788" s="6"/>
      <c r="D788" s="6"/>
      <c r="E788" s="6"/>
      <c r="F788" s="6"/>
      <c r="G788" s="6"/>
      <c r="H788" s="25"/>
      <c r="I788" s="25"/>
      <c r="J788" s="6"/>
      <c r="K788" s="6"/>
      <c r="L788" s="6"/>
      <c r="M788" s="6"/>
      <c r="N788" s="6"/>
      <c r="O788" s="6"/>
      <c r="P788" s="6"/>
      <c r="Q788" s="6"/>
      <c r="R788" s="6"/>
      <c r="S788" s="26"/>
      <c r="T788" s="26"/>
      <c r="U788" s="27"/>
      <c r="V788" s="6"/>
      <c r="W788" s="6"/>
      <c r="X788" s="6"/>
      <c r="Y788" s="6"/>
      <c r="Z788" s="6"/>
      <c r="AA788" s="6"/>
      <c r="AB788" s="6"/>
      <c r="AC788" s="6"/>
      <c r="AD788" s="6"/>
    </row>
    <row r="789">
      <c r="A789" s="6"/>
      <c r="B789" s="6"/>
      <c r="C789" s="6"/>
      <c r="D789" s="6"/>
      <c r="E789" s="6"/>
      <c r="F789" s="6"/>
      <c r="G789" s="6"/>
      <c r="H789" s="25"/>
      <c r="I789" s="25"/>
      <c r="J789" s="6"/>
      <c r="K789" s="6"/>
      <c r="L789" s="6"/>
      <c r="M789" s="6"/>
      <c r="N789" s="6"/>
      <c r="O789" s="6"/>
      <c r="P789" s="6"/>
      <c r="Q789" s="6"/>
      <c r="R789" s="6"/>
      <c r="S789" s="26"/>
      <c r="T789" s="26"/>
      <c r="U789" s="27"/>
      <c r="V789" s="6"/>
      <c r="W789" s="6"/>
      <c r="X789" s="6"/>
      <c r="Y789" s="6"/>
      <c r="Z789" s="6"/>
      <c r="AA789" s="6"/>
      <c r="AB789" s="6"/>
      <c r="AC789" s="6"/>
      <c r="AD789" s="6"/>
    </row>
    <row r="790">
      <c r="A790" s="6"/>
      <c r="B790" s="6"/>
      <c r="C790" s="6"/>
      <c r="D790" s="6"/>
      <c r="E790" s="6"/>
      <c r="F790" s="6"/>
      <c r="G790" s="6"/>
      <c r="H790" s="25"/>
      <c r="I790" s="25"/>
      <c r="J790" s="6"/>
      <c r="K790" s="6"/>
      <c r="L790" s="6"/>
      <c r="M790" s="6"/>
      <c r="N790" s="6"/>
      <c r="O790" s="6"/>
      <c r="P790" s="6"/>
      <c r="Q790" s="6"/>
      <c r="R790" s="6"/>
      <c r="S790" s="26"/>
      <c r="T790" s="26"/>
      <c r="U790" s="27"/>
      <c r="V790" s="6"/>
      <c r="W790" s="6"/>
      <c r="X790" s="6"/>
      <c r="Y790" s="6"/>
      <c r="Z790" s="6"/>
      <c r="AA790" s="6"/>
      <c r="AB790" s="6"/>
      <c r="AC790" s="6"/>
      <c r="AD790" s="6"/>
    </row>
    <row r="791">
      <c r="A791" s="6"/>
      <c r="B791" s="6"/>
      <c r="C791" s="6"/>
      <c r="D791" s="6"/>
      <c r="E791" s="6"/>
      <c r="F791" s="6"/>
      <c r="G791" s="6"/>
      <c r="H791" s="25"/>
      <c r="I791" s="25"/>
      <c r="J791" s="6"/>
      <c r="K791" s="6"/>
      <c r="L791" s="6"/>
      <c r="M791" s="6"/>
      <c r="N791" s="6"/>
      <c r="O791" s="6"/>
      <c r="P791" s="6"/>
      <c r="Q791" s="6"/>
      <c r="R791" s="6"/>
      <c r="S791" s="26"/>
      <c r="T791" s="26"/>
      <c r="U791" s="27"/>
      <c r="V791" s="6"/>
      <c r="W791" s="6"/>
      <c r="X791" s="6"/>
      <c r="Y791" s="6"/>
      <c r="Z791" s="6"/>
      <c r="AA791" s="6"/>
      <c r="AB791" s="6"/>
      <c r="AC791" s="6"/>
      <c r="AD791" s="6"/>
    </row>
    <row r="792">
      <c r="A792" s="6"/>
      <c r="B792" s="6"/>
      <c r="C792" s="6"/>
      <c r="D792" s="6"/>
      <c r="E792" s="6"/>
      <c r="F792" s="6"/>
      <c r="G792" s="6"/>
      <c r="H792" s="25"/>
      <c r="I792" s="25"/>
      <c r="J792" s="6"/>
      <c r="K792" s="6"/>
      <c r="L792" s="6"/>
      <c r="M792" s="6"/>
      <c r="N792" s="6"/>
      <c r="O792" s="6"/>
      <c r="P792" s="6"/>
      <c r="Q792" s="6"/>
      <c r="R792" s="6"/>
      <c r="S792" s="26"/>
      <c r="T792" s="26"/>
      <c r="U792" s="27"/>
      <c r="V792" s="6"/>
      <c r="W792" s="6"/>
      <c r="X792" s="6"/>
      <c r="Y792" s="6"/>
      <c r="Z792" s="6"/>
      <c r="AA792" s="6"/>
      <c r="AB792" s="6"/>
      <c r="AC792" s="6"/>
      <c r="AD792" s="6"/>
    </row>
    <row r="793">
      <c r="A793" s="6"/>
      <c r="B793" s="6"/>
      <c r="C793" s="6"/>
      <c r="D793" s="6"/>
      <c r="E793" s="6"/>
      <c r="F793" s="6"/>
      <c r="G793" s="6"/>
      <c r="H793" s="25"/>
      <c r="I793" s="25"/>
      <c r="J793" s="6"/>
      <c r="K793" s="6"/>
      <c r="L793" s="6"/>
      <c r="M793" s="6"/>
      <c r="N793" s="6"/>
      <c r="O793" s="6"/>
      <c r="P793" s="6"/>
      <c r="Q793" s="6"/>
      <c r="R793" s="6"/>
      <c r="S793" s="26"/>
      <c r="T793" s="26"/>
      <c r="U793" s="27"/>
      <c r="V793" s="6"/>
      <c r="W793" s="6"/>
      <c r="X793" s="6"/>
      <c r="Y793" s="6"/>
      <c r="Z793" s="6"/>
      <c r="AA793" s="6"/>
      <c r="AB793" s="6"/>
      <c r="AC793" s="6"/>
      <c r="AD793" s="6"/>
    </row>
    <row r="794">
      <c r="A794" s="6"/>
      <c r="B794" s="6"/>
      <c r="C794" s="6"/>
      <c r="D794" s="6"/>
      <c r="E794" s="6"/>
      <c r="F794" s="6"/>
      <c r="G794" s="6"/>
      <c r="H794" s="25"/>
      <c r="I794" s="25"/>
      <c r="J794" s="6"/>
      <c r="K794" s="6"/>
      <c r="L794" s="6"/>
      <c r="M794" s="6"/>
      <c r="N794" s="6"/>
      <c r="O794" s="6"/>
      <c r="P794" s="6"/>
      <c r="Q794" s="6"/>
      <c r="R794" s="6"/>
      <c r="S794" s="26"/>
      <c r="T794" s="26"/>
      <c r="U794" s="27"/>
      <c r="V794" s="6"/>
      <c r="W794" s="6"/>
      <c r="X794" s="6"/>
      <c r="Y794" s="6"/>
      <c r="Z794" s="6"/>
      <c r="AA794" s="6"/>
      <c r="AB794" s="6"/>
      <c r="AC794" s="6"/>
      <c r="AD794" s="6"/>
    </row>
    <row r="795">
      <c r="A795" s="6"/>
      <c r="B795" s="6"/>
      <c r="C795" s="6"/>
      <c r="D795" s="6"/>
      <c r="E795" s="6"/>
      <c r="F795" s="6"/>
      <c r="G795" s="6"/>
      <c r="H795" s="25"/>
      <c r="I795" s="25"/>
      <c r="J795" s="6"/>
      <c r="K795" s="6"/>
      <c r="L795" s="6"/>
      <c r="M795" s="6"/>
      <c r="N795" s="6"/>
      <c r="O795" s="6"/>
      <c r="P795" s="6"/>
      <c r="Q795" s="6"/>
      <c r="R795" s="6"/>
      <c r="S795" s="26"/>
      <c r="T795" s="26"/>
      <c r="U795" s="27"/>
      <c r="V795" s="6"/>
      <c r="W795" s="6"/>
      <c r="X795" s="6"/>
      <c r="Y795" s="6"/>
      <c r="Z795" s="6"/>
      <c r="AA795" s="6"/>
      <c r="AB795" s="6"/>
      <c r="AC795" s="6"/>
      <c r="AD795" s="6"/>
    </row>
    <row r="796">
      <c r="A796" s="6"/>
      <c r="B796" s="6"/>
      <c r="C796" s="6"/>
      <c r="D796" s="6"/>
      <c r="E796" s="6"/>
      <c r="F796" s="6"/>
      <c r="G796" s="6"/>
      <c r="H796" s="25"/>
      <c r="I796" s="25"/>
      <c r="J796" s="6"/>
      <c r="K796" s="6"/>
      <c r="L796" s="6"/>
      <c r="M796" s="6"/>
      <c r="N796" s="6"/>
      <c r="O796" s="6"/>
      <c r="P796" s="6"/>
      <c r="Q796" s="6"/>
      <c r="R796" s="6"/>
      <c r="S796" s="26"/>
      <c r="T796" s="26"/>
      <c r="U796" s="27"/>
      <c r="V796" s="6"/>
      <c r="W796" s="6"/>
      <c r="X796" s="6"/>
      <c r="Y796" s="6"/>
      <c r="Z796" s="6"/>
      <c r="AA796" s="6"/>
      <c r="AB796" s="6"/>
      <c r="AC796" s="6"/>
      <c r="AD796" s="6"/>
    </row>
    <row r="797">
      <c r="A797" s="6"/>
      <c r="B797" s="6"/>
      <c r="C797" s="6"/>
      <c r="D797" s="6"/>
      <c r="E797" s="6"/>
      <c r="F797" s="6"/>
      <c r="G797" s="6"/>
      <c r="H797" s="25"/>
      <c r="I797" s="25"/>
      <c r="J797" s="6"/>
      <c r="K797" s="6"/>
      <c r="L797" s="6"/>
      <c r="M797" s="6"/>
      <c r="N797" s="6"/>
      <c r="O797" s="6"/>
      <c r="P797" s="6"/>
      <c r="Q797" s="6"/>
      <c r="R797" s="6"/>
      <c r="S797" s="26"/>
      <c r="T797" s="26"/>
      <c r="U797" s="27"/>
      <c r="V797" s="6"/>
      <c r="W797" s="6"/>
      <c r="X797" s="6"/>
      <c r="Y797" s="6"/>
      <c r="Z797" s="6"/>
      <c r="AA797" s="6"/>
      <c r="AB797" s="6"/>
      <c r="AC797" s="6"/>
      <c r="AD797" s="6"/>
    </row>
    <row r="798">
      <c r="A798" s="6"/>
      <c r="B798" s="6"/>
      <c r="C798" s="6"/>
      <c r="D798" s="6"/>
      <c r="E798" s="6"/>
      <c r="F798" s="6"/>
      <c r="G798" s="6"/>
      <c r="H798" s="25"/>
      <c r="I798" s="25"/>
      <c r="J798" s="6"/>
      <c r="K798" s="6"/>
      <c r="L798" s="6"/>
      <c r="M798" s="6"/>
      <c r="N798" s="6"/>
      <c r="O798" s="6"/>
      <c r="P798" s="6"/>
      <c r="Q798" s="6"/>
      <c r="R798" s="6"/>
      <c r="S798" s="26"/>
      <c r="T798" s="26"/>
      <c r="U798" s="27"/>
      <c r="V798" s="6"/>
      <c r="W798" s="6"/>
      <c r="X798" s="6"/>
      <c r="Y798" s="6"/>
      <c r="Z798" s="6"/>
      <c r="AA798" s="6"/>
      <c r="AB798" s="6"/>
      <c r="AC798" s="6"/>
      <c r="AD798" s="6"/>
    </row>
    <row r="799">
      <c r="A799" s="6"/>
      <c r="B799" s="6"/>
      <c r="C799" s="6"/>
      <c r="D799" s="6"/>
      <c r="E799" s="6"/>
      <c r="F799" s="6"/>
      <c r="G799" s="6"/>
      <c r="H799" s="25"/>
      <c r="I799" s="25"/>
      <c r="J799" s="6"/>
      <c r="K799" s="6"/>
      <c r="L799" s="6"/>
      <c r="M799" s="6"/>
      <c r="N799" s="6"/>
      <c r="O799" s="6"/>
      <c r="P799" s="6"/>
      <c r="Q799" s="6"/>
      <c r="R799" s="6"/>
      <c r="S799" s="26"/>
      <c r="T799" s="26"/>
      <c r="U799" s="27"/>
      <c r="V799" s="6"/>
      <c r="W799" s="6"/>
      <c r="X799" s="6"/>
      <c r="Y799" s="6"/>
      <c r="Z799" s="6"/>
      <c r="AA799" s="6"/>
      <c r="AB799" s="6"/>
      <c r="AC799" s="6"/>
      <c r="AD799" s="6"/>
    </row>
    <row r="800">
      <c r="A800" s="6"/>
      <c r="B800" s="6"/>
      <c r="C800" s="6"/>
      <c r="D800" s="6"/>
      <c r="E800" s="6"/>
      <c r="F800" s="6"/>
      <c r="G800" s="6"/>
      <c r="H800" s="25"/>
      <c r="I800" s="25"/>
      <c r="J800" s="6"/>
      <c r="K800" s="6"/>
      <c r="L800" s="6"/>
      <c r="M800" s="6"/>
      <c r="N800" s="6"/>
      <c r="O800" s="6"/>
      <c r="P800" s="6"/>
      <c r="Q800" s="6"/>
      <c r="R800" s="6"/>
      <c r="S800" s="26"/>
      <c r="T800" s="26"/>
      <c r="U800" s="27"/>
      <c r="V800" s="6"/>
      <c r="W800" s="6"/>
      <c r="X800" s="6"/>
      <c r="Y800" s="6"/>
      <c r="Z800" s="6"/>
      <c r="AA800" s="6"/>
      <c r="AB800" s="6"/>
      <c r="AC800" s="6"/>
      <c r="AD800" s="6"/>
    </row>
    <row r="801">
      <c r="A801" s="6"/>
      <c r="B801" s="6"/>
      <c r="C801" s="6"/>
      <c r="D801" s="6"/>
      <c r="E801" s="6"/>
      <c r="F801" s="6"/>
      <c r="G801" s="6"/>
      <c r="H801" s="25"/>
      <c r="I801" s="25"/>
      <c r="J801" s="6"/>
      <c r="K801" s="6"/>
      <c r="L801" s="6"/>
      <c r="M801" s="6"/>
      <c r="N801" s="6"/>
      <c r="O801" s="6"/>
      <c r="P801" s="6"/>
      <c r="Q801" s="6"/>
      <c r="R801" s="6"/>
      <c r="S801" s="26"/>
      <c r="T801" s="26"/>
      <c r="U801" s="27"/>
      <c r="V801" s="6"/>
      <c r="W801" s="6"/>
      <c r="X801" s="6"/>
      <c r="Y801" s="6"/>
      <c r="Z801" s="6"/>
      <c r="AA801" s="6"/>
      <c r="AB801" s="6"/>
      <c r="AC801" s="6"/>
      <c r="AD801" s="6"/>
    </row>
    <row r="802">
      <c r="A802" s="6"/>
      <c r="B802" s="6"/>
      <c r="C802" s="6"/>
      <c r="D802" s="6"/>
      <c r="E802" s="6"/>
      <c r="F802" s="6"/>
      <c r="G802" s="6"/>
      <c r="H802" s="25"/>
      <c r="I802" s="25"/>
      <c r="J802" s="6"/>
      <c r="K802" s="6"/>
      <c r="L802" s="6"/>
      <c r="M802" s="6"/>
      <c r="N802" s="6"/>
      <c r="O802" s="6"/>
      <c r="P802" s="6"/>
      <c r="Q802" s="6"/>
      <c r="R802" s="6"/>
      <c r="S802" s="26"/>
      <c r="T802" s="26"/>
      <c r="U802" s="27"/>
      <c r="V802" s="6"/>
      <c r="W802" s="6"/>
      <c r="X802" s="6"/>
      <c r="Y802" s="6"/>
      <c r="Z802" s="6"/>
      <c r="AA802" s="6"/>
      <c r="AB802" s="6"/>
      <c r="AC802" s="6"/>
      <c r="AD802" s="6"/>
    </row>
    <row r="803">
      <c r="A803" s="6"/>
      <c r="B803" s="6"/>
      <c r="C803" s="6"/>
      <c r="D803" s="6"/>
      <c r="E803" s="6"/>
      <c r="F803" s="6"/>
      <c r="G803" s="6"/>
      <c r="H803" s="25"/>
      <c r="I803" s="25"/>
      <c r="J803" s="6"/>
      <c r="K803" s="6"/>
      <c r="L803" s="6"/>
      <c r="M803" s="6"/>
      <c r="N803" s="6"/>
      <c r="O803" s="6"/>
      <c r="P803" s="6"/>
      <c r="Q803" s="6"/>
      <c r="R803" s="6"/>
      <c r="S803" s="26"/>
      <c r="T803" s="26"/>
      <c r="U803" s="27"/>
      <c r="V803" s="6"/>
      <c r="W803" s="6"/>
      <c r="X803" s="6"/>
      <c r="Y803" s="6"/>
      <c r="Z803" s="6"/>
      <c r="AA803" s="6"/>
      <c r="AB803" s="6"/>
      <c r="AC803" s="6"/>
      <c r="AD803" s="6"/>
    </row>
    <row r="804">
      <c r="A804" s="6"/>
      <c r="B804" s="6"/>
      <c r="C804" s="6"/>
      <c r="D804" s="6"/>
      <c r="E804" s="6"/>
      <c r="F804" s="6"/>
      <c r="G804" s="6"/>
      <c r="H804" s="25"/>
      <c r="I804" s="25"/>
      <c r="J804" s="6"/>
      <c r="K804" s="6"/>
      <c r="L804" s="6"/>
      <c r="M804" s="6"/>
      <c r="N804" s="6"/>
      <c r="O804" s="6"/>
      <c r="P804" s="6"/>
      <c r="Q804" s="6"/>
      <c r="R804" s="6"/>
      <c r="S804" s="26"/>
      <c r="T804" s="26"/>
      <c r="U804" s="27"/>
      <c r="V804" s="6"/>
      <c r="W804" s="6"/>
      <c r="X804" s="6"/>
      <c r="Y804" s="6"/>
      <c r="Z804" s="6"/>
      <c r="AA804" s="6"/>
      <c r="AB804" s="6"/>
      <c r="AC804" s="6"/>
      <c r="AD804" s="6"/>
    </row>
    <row r="805">
      <c r="A805" s="6"/>
      <c r="B805" s="6"/>
      <c r="C805" s="6"/>
      <c r="D805" s="6"/>
      <c r="E805" s="6"/>
      <c r="F805" s="6"/>
      <c r="G805" s="6"/>
      <c r="H805" s="25"/>
      <c r="I805" s="25"/>
      <c r="J805" s="6"/>
      <c r="K805" s="6"/>
      <c r="L805" s="6"/>
      <c r="M805" s="6"/>
      <c r="N805" s="6"/>
      <c r="O805" s="6"/>
      <c r="P805" s="6"/>
      <c r="Q805" s="6"/>
      <c r="R805" s="6"/>
      <c r="S805" s="26"/>
      <c r="T805" s="26"/>
      <c r="U805" s="27"/>
      <c r="V805" s="6"/>
      <c r="W805" s="6"/>
      <c r="X805" s="6"/>
      <c r="Y805" s="6"/>
      <c r="Z805" s="6"/>
      <c r="AA805" s="6"/>
      <c r="AB805" s="6"/>
      <c r="AC805" s="6"/>
      <c r="AD805" s="6"/>
    </row>
    <row r="806">
      <c r="A806" s="6"/>
      <c r="B806" s="6"/>
      <c r="C806" s="6"/>
      <c r="D806" s="6"/>
      <c r="E806" s="6"/>
      <c r="F806" s="6"/>
      <c r="G806" s="6"/>
      <c r="H806" s="25"/>
      <c r="I806" s="25"/>
      <c r="J806" s="6"/>
      <c r="K806" s="6"/>
      <c r="L806" s="6"/>
      <c r="M806" s="6"/>
      <c r="N806" s="6"/>
      <c r="O806" s="6"/>
      <c r="P806" s="6"/>
      <c r="Q806" s="6"/>
      <c r="R806" s="6"/>
      <c r="S806" s="26"/>
      <c r="T806" s="26"/>
      <c r="U806" s="27"/>
      <c r="V806" s="6"/>
      <c r="W806" s="6"/>
      <c r="X806" s="6"/>
      <c r="Y806" s="6"/>
      <c r="Z806" s="6"/>
      <c r="AA806" s="6"/>
      <c r="AB806" s="6"/>
      <c r="AC806" s="6"/>
      <c r="AD806" s="6"/>
    </row>
    <row r="807">
      <c r="A807" s="6"/>
      <c r="B807" s="6"/>
      <c r="C807" s="6"/>
      <c r="D807" s="6"/>
      <c r="E807" s="6"/>
      <c r="F807" s="6"/>
      <c r="G807" s="6"/>
      <c r="H807" s="25"/>
      <c r="I807" s="25"/>
      <c r="J807" s="6"/>
      <c r="K807" s="6"/>
      <c r="L807" s="6"/>
      <c r="M807" s="6"/>
      <c r="N807" s="6"/>
      <c r="O807" s="6"/>
      <c r="P807" s="6"/>
      <c r="Q807" s="6"/>
      <c r="R807" s="6"/>
      <c r="S807" s="26"/>
      <c r="T807" s="26"/>
      <c r="U807" s="27"/>
      <c r="V807" s="6"/>
      <c r="W807" s="6"/>
      <c r="X807" s="6"/>
      <c r="Y807" s="6"/>
      <c r="Z807" s="6"/>
      <c r="AA807" s="6"/>
      <c r="AB807" s="6"/>
      <c r="AC807" s="6"/>
      <c r="AD807" s="6"/>
    </row>
    <row r="808">
      <c r="A808" s="6"/>
      <c r="B808" s="6"/>
      <c r="C808" s="6"/>
      <c r="D808" s="6"/>
      <c r="E808" s="6"/>
      <c r="F808" s="6"/>
      <c r="G808" s="6"/>
      <c r="H808" s="25"/>
      <c r="I808" s="25"/>
      <c r="J808" s="6"/>
      <c r="K808" s="6"/>
      <c r="L808" s="6"/>
      <c r="M808" s="6"/>
      <c r="N808" s="6"/>
      <c r="O808" s="6"/>
      <c r="P808" s="6"/>
      <c r="Q808" s="6"/>
      <c r="R808" s="6"/>
      <c r="S808" s="26"/>
      <c r="T808" s="26"/>
      <c r="U808" s="27"/>
      <c r="V808" s="6"/>
      <c r="W808" s="6"/>
      <c r="X808" s="6"/>
      <c r="Y808" s="6"/>
      <c r="Z808" s="6"/>
      <c r="AA808" s="6"/>
      <c r="AB808" s="6"/>
      <c r="AC808" s="6"/>
      <c r="AD808" s="6"/>
    </row>
    <row r="809">
      <c r="A809" s="6"/>
      <c r="B809" s="6"/>
      <c r="C809" s="6"/>
      <c r="D809" s="6"/>
      <c r="E809" s="6"/>
      <c r="F809" s="6"/>
      <c r="G809" s="6"/>
      <c r="H809" s="25"/>
      <c r="I809" s="25"/>
      <c r="J809" s="6"/>
      <c r="K809" s="6"/>
      <c r="L809" s="6"/>
      <c r="M809" s="6"/>
      <c r="N809" s="6"/>
      <c r="O809" s="6"/>
      <c r="P809" s="6"/>
      <c r="Q809" s="6"/>
      <c r="R809" s="6"/>
      <c r="S809" s="26"/>
      <c r="T809" s="26"/>
      <c r="U809" s="27"/>
      <c r="V809" s="6"/>
      <c r="W809" s="6"/>
      <c r="X809" s="6"/>
      <c r="Y809" s="6"/>
      <c r="Z809" s="6"/>
      <c r="AA809" s="6"/>
      <c r="AB809" s="6"/>
      <c r="AC809" s="6"/>
      <c r="AD809" s="6"/>
    </row>
    <row r="810">
      <c r="A810" s="6"/>
      <c r="B810" s="6"/>
      <c r="C810" s="6"/>
      <c r="D810" s="6"/>
      <c r="E810" s="6"/>
      <c r="F810" s="6"/>
      <c r="G810" s="6"/>
      <c r="H810" s="25"/>
      <c r="I810" s="25"/>
      <c r="J810" s="6"/>
      <c r="K810" s="6"/>
      <c r="L810" s="6"/>
      <c r="M810" s="6"/>
      <c r="N810" s="6"/>
      <c r="O810" s="6"/>
      <c r="P810" s="6"/>
      <c r="Q810" s="6"/>
      <c r="R810" s="6"/>
      <c r="S810" s="26"/>
      <c r="T810" s="26"/>
      <c r="U810" s="27"/>
      <c r="V810" s="6"/>
      <c r="W810" s="6"/>
      <c r="X810" s="6"/>
      <c r="Y810" s="6"/>
      <c r="Z810" s="6"/>
      <c r="AA810" s="6"/>
      <c r="AB810" s="6"/>
      <c r="AC810" s="6"/>
      <c r="AD810" s="6"/>
    </row>
    <row r="811">
      <c r="A811" s="6"/>
      <c r="B811" s="6"/>
      <c r="C811" s="6"/>
      <c r="D811" s="6"/>
      <c r="E811" s="6"/>
      <c r="F811" s="6"/>
      <c r="G811" s="6"/>
      <c r="H811" s="25"/>
      <c r="I811" s="25"/>
      <c r="J811" s="6"/>
      <c r="K811" s="6"/>
      <c r="L811" s="6"/>
      <c r="M811" s="6"/>
      <c r="N811" s="6"/>
      <c r="O811" s="6"/>
      <c r="P811" s="6"/>
      <c r="Q811" s="6"/>
      <c r="R811" s="6"/>
      <c r="S811" s="26"/>
      <c r="T811" s="26"/>
      <c r="U811" s="27"/>
      <c r="V811" s="6"/>
      <c r="W811" s="6"/>
      <c r="X811" s="6"/>
      <c r="Y811" s="6"/>
      <c r="Z811" s="6"/>
      <c r="AA811" s="6"/>
      <c r="AB811" s="6"/>
      <c r="AC811" s="6"/>
      <c r="AD811" s="6"/>
    </row>
    <row r="812">
      <c r="A812" s="6"/>
      <c r="B812" s="6"/>
      <c r="C812" s="6"/>
      <c r="D812" s="6"/>
      <c r="E812" s="6"/>
      <c r="F812" s="6"/>
      <c r="G812" s="6"/>
      <c r="H812" s="25"/>
      <c r="I812" s="25"/>
      <c r="J812" s="6"/>
      <c r="K812" s="6"/>
      <c r="L812" s="6"/>
      <c r="M812" s="6"/>
      <c r="N812" s="6"/>
      <c r="O812" s="6"/>
      <c r="P812" s="6"/>
      <c r="Q812" s="6"/>
      <c r="R812" s="6"/>
      <c r="S812" s="26"/>
      <c r="T812" s="26"/>
      <c r="U812" s="27"/>
      <c r="V812" s="6"/>
      <c r="W812" s="6"/>
      <c r="X812" s="6"/>
      <c r="Y812" s="6"/>
      <c r="Z812" s="6"/>
      <c r="AA812" s="6"/>
      <c r="AB812" s="6"/>
      <c r="AC812" s="6"/>
      <c r="AD812" s="6"/>
    </row>
    <row r="813">
      <c r="A813" s="6"/>
      <c r="B813" s="6"/>
      <c r="C813" s="6"/>
      <c r="D813" s="6"/>
      <c r="E813" s="6"/>
      <c r="F813" s="6"/>
      <c r="G813" s="6"/>
      <c r="H813" s="25"/>
      <c r="I813" s="25"/>
      <c r="J813" s="6"/>
      <c r="K813" s="6"/>
      <c r="L813" s="6"/>
      <c r="M813" s="6"/>
      <c r="N813" s="6"/>
      <c r="O813" s="6"/>
      <c r="P813" s="6"/>
      <c r="Q813" s="6"/>
      <c r="R813" s="6"/>
      <c r="S813" s="26"/>
      <c r="T813" s="26"/>
      <c r="U813" s="27"/>
      <c r="V813" s="6"/>
      <c r="W813" s="6"/>
      <c r="X813" s="6"/>
      <c r="Y813" s="6"/>
      <c r="Z813" s="6"/>
      <c r="AA813" s="6"/>
      <c r="AB813" s="6"/>
      <c r="AC813" s="6"/>
      <c r="AD813" s="6"/>
    </row>
    <row r="814">
      <c r="A814" s="6"/>
      <c r="B814" s="6"/>
      <c r="C814" s="6"/>
      <c r="D814" s="6"/>
      <c r="E814" s="6"/>
      <c r="F814" s="6"/>
      <c r="G814" s="6"/>
      <c r="H814" s="25"/>
      <c r="I814" s="25"/>
      <c r="J814" s="6"/>
      <c r="K814" s="6"/>
      <c r="L814" s="6"/>
      <c r="M814" s="6"/>
      <c r="N814" s="6"/>
      <c r="O814" s="6"/>
      <c r="P814" s="6"/>
      <c r="Q814" s="6"/>
      <c r="R814" s="6"/>
      <c r="S814" s="26"/>
      <c r="T814" s="26"/>
      <c r="U814" s="27"/>
      <c r="V814" s="6"/>
      <c r="W814" s="6"/>
      <c r="X814" s="6"/>
      <c r="Y814" s="6"/>
      <c r="Z814" s="6"/>
      <c r="AA814" s="6"/>
      <c r="AB814" s="6"/>
      <c r="AC814" s="6"/>
      <c r="AD814" s="6"/>
    </row>
    <row r="815">
      <c r="A815" s="6"/>
      <c r="B815" s="6"/>
      <c r="C815" s="6"/>
      <c r="D815" s="6"/>
      <c r="E815" s="6"/>
      <c r="F815" s="6"/>
      <c r="G815" s="6"/>
      <c r="H815" s="25"/>
      <c r="I815" s="25"/>
      <c r="J815" s="6"/>
      <c r="K815" s="6"/>
      <c r="L815" s="6"/>
      <c r="M815" s="6"/>
      <c r="N815" s="6"/>
      <c r="O815" s="6"/>
      <c r="P815" s="6"/>
      <c r="Q815" s="6"/>
      <c r="R815" s="6"/>
      <c r="S815" s="26"/>
      <c r="T815" s="26"/>
      <c r="U815" s="27"/>
      <c r="V815" s="6"/>
      <c r="W815" s="6"/>
      <c r="X815" s="6"/>
      <c r="Y815" s="6"/>
      <c r="Z815" s="6"/>
      <c r="AA815" s="6"/>
      <c r="AB815" s="6"/>
      <c r="AC815" s="6"/>
      <c r="AD815" s="6"/>
    </row>
    <row r="816">
      <c r="A816" s="6"/>
      <c r="B816" s="6"/>
      <c r="C816" s="6"/>
      <c r="D816" s="6"/>
      <c r="E816" s="6"/>
      <c r="F816" s="6"/>
      <c r="G816" s="6"/>
      <c r="H816" s="25"/>
      <c r="I816" s="25"/>
      <c r="J816" s="6"/>
      <c r="K816" s="6"/>
      <c r="L816" s="6"/>
      <c r="M816" s="6"/>
      <c r="N816" s="6"/>
      <c r="O816" s="6"/>
      <c r="P816" s="6"/>
      <c r="Q816" s="6"/>
      <c r="R816" s="6"/>
      <c r="S816" s="26"/>
      <c r="T816" s="26"/>
      <c r="U816" s="27"/>
      <c r="V816" s="6"/>
      <c r="W816" s="6"/>
      <c r="X816" s="6"/>
      <c r="Y816" s="6"/>
      <c r="Z816" s="6"/>
      <c r="AA816" s="6"/>
      <c r="AB816" s="6"/>
      <c r="AC816" s="6"/>
      <c r="AD816" s="6"/>
    </row>
    <row r="817">
      <c r="A817" s="6"/>
      <c r="B817" s="6"/>
      <c r="C817" s="6"/>
      <c r="D817" s="6"/>
      <c r="E817" s="6"/>
      <c r="F817" s="6"/>
      <c r="G817" s="6"/>
      <c r="H817" s="25"/>
      <c r="I817" s="25"/>
      <c r="J817" s="6"/>
      <c r="K817" s="6"/>
      <c r="L817" s="6"/>
      <c r="M817" s="6"/>
      <c r="N817" s="6"/>
      <c r="O817" s="6"/>
      <c r="P817" s="6"/>
      <c r="Q817" s="6"/>
      <c r="R817" s="6"/>
      <c r="S817" s="26"/>
      <c r="T817" s="26"/>
      <c r="U817" s="27"/>
      <c r="V817" s="6"/>
      <c r="W817" s="6"/>
      <c r="X817" s="6"/>
      <c r="Y817" s="6"/>
      <c r="Z817" s="6"/>
      <c r="AA817" s="6"/>
      <c r="AB817" s="6"/>
      <c r="AC817" s="6"/>
      <c r="AD817" s="6"/>
    </row>
    <row r="818">
      <c r="A818" s="6"/>
      <c r="B818" s="6"/>
      <c r="C818" s="6"/>
      <c r="D818" s="6"/>
      <c r="E818" s="6"/>
      <c r="F818" s="6"/>
      <c r="G818" s="6"/>
      <c r="H818" s="25"/>
      <c r="I818" s="25"/>
      <c r="J818" s="6"/>
      <c r="K818" s="6"/>
      <c r="L818" s="6"/>
      <c r="M818" s="6"/>
      <c r="N818" s="6"/>
      <c r="O818" s="6"/>
      <c r="P818" s="6"/>
      <c r="Q818" s="6"/>
      <c r="R818" s="6"/>
      <c r="S818" s="26"/>
      <c r="T818" s="26"/>
      <c r="U818" s="27"/>
      <c r="V818" s="6"/>
      <c r="W818" s="6"/>
      <c r="X818" s="6"/>
      <c r="Y818" s="6"/>
      <c r="Z818" s="6"/>
      <c r="AA818" s="6"/>
      <c r="AB818" s="6"/>
      <c r="AC818" s="6"/>
      <c r="AD818" s="6"/>
    </row>
    <row r="819">
      <c r="A819" s="6"/>
      <c r="B819" s="6"/>
      <c r="C819" s="6"/>
      <c r="D819" s="6"/>
      <c r="E819" s="6"/>
      <c r="F819" s="6"/>
      <c r="G819" s="6"/>
      <c r="H819" s="25"/>
      <c r="I819" s="25"/>
      <c r="J819" s="6"/>
      <c r="K819" s="6"/>
      <c r="L819" s="6"/>
      <c r="M819" s="6"/>
      <c r="N819" s="6"/>
      <c r="O819" s="6"/>
      <c r="P819" s="6"/>
      <c r="Q819" s="6"/>
      <c r="R819" s="6"/>
      <c r="S819" s="26"/>
      <c r="T819" s="26"/>
      <c r="U819" s="27"/>
      <c r="V819" s="6"/>
      <c r="W819" s="6"/>
      <c r="X819" s="6"/>
      <c r="Y819" s="6"/>
      <c r="Z819" s="6"/>
      <c r="AA819" s="6"/>
      <c r="AB819" s="6"/>
      <c r="AC819" s="6"/>
      <c r="AD819" s="6"/>
    </row>
    <row r="820">
      <c r="A820" s="6"/>
      <c r="B820" s="6"/>
      <c r="C820" s="6"/>
      <c r="D820" s="6"/>
      <c r="E820" s="6"/>
      <c r="F820" s="6"/>
      <c r="G820" s="6"/>
      <c r="H820" s="25"/>
      <c r="I820" s="25"/>
      <c r="J820" s="6"/>
      <c r="K820" s="6"/>
      <c r="L820" s="6"/>
      <c r="M820" s="6"/>
      <c r="N820" s="6"/>
      <c r="O820" s="6"/>
      <c r="P820" s="6"/>
      <c r="Q820" s="6"/>
      <c r="R820" s="6"/>
      <c r="S820" s="26"/>
      <c r="T820" s="26"/>
      <c r="U820" s="27"/>
      <c r="V820" s="6"/>
      <c r="W820" s="6"/>
      <c r="X820" s="6"/>
      <c r="Y820" s="6"/>
      <c r="Z820" s="6"/>
      <c r="AA820" s="6"/>
      <c r="AB820" s="6"/>
      <c r="AC820" s="6"/>
      <c r="AD820" s="6"/>
    </row>
    <row r="821">
      <c r="A821" s="6"/>
      <c r="B821" s="6"/>
      <c r="C821" s="6"/>
      <c r="D821" s="6"/>
      <c r="E821" s="6"/>
      <c r="F821" s="6"/>
      <c r="G821" s="6"/>
      <c r="H821" s="25"/>
      <c r="I821" s="25"/>
      <c r="J821" s="6"/>
      <c r="K821" s="6"/>
      <c r="L821" s="6"/>
      <c r="M821" s="6"/>
      <c r="N821" s="6"/>
      <c r="O821" s="6"/>
      <c r="P821" s="6"/>
      <c r="Q821" s="6"/>
      <c r="R821" s="6"/>
      <c r="S821" s="26"/>
      <c r="T821" s="26"/>
      <c r="U821" s="27"/>
      <c r="V821" s="6"/>
      <c r="W821" s="6"/>
      <c r="X821" s="6"/>
      <c r="Y821" s="6"/>
      <c r="Z821" s="6"/>
      <c r="AA821" s="6"/>
      <c r="AB821" s="6"/>
      <c r="AC821" s="6"/>
      <c r="AD821" s="6"/>
    </row>
    <row r="822">
      <c r="A822" s="6"/>
      <c r="B822" s="6"/>
      <c r="C822" s="6"/>
      <c r="D822" s="6"/>
      <c r="E822" s="6"/>
      <c r="F822" s="6"/>
      <c r="G822" s="6"/>
      <c r="H822" s="25"/>
      <c r="I822" s="25"/>
      <c r="J822" s="6"/>
      <c r="K822" s="6"/>
      <c r="L822" s="6"/>
      <c r="M822" s="6"/>
      <c r="N822" s="6"/>
      <c r="O822" s="6"/>
      <c r="P822" s="6"/>
      <c r="Q822" s="6"/>
      <c r="R822" s="6"/>
      <c r="S822" s="26"/>
      <c r="T822" s="26"/>
      <c r="U822" s="27"/>
      <c r="V822" s="6"/>
      <c r="W822" s="6"/>
      <c r="X822" s="6"/>
      <c r="Y822" s="6"/>
      <c r="Z822" s="6"/>
      <c r="AA822" s="6"/>
      <c r="AB822" s="6"/>
      <c r="AC822" s="6"/>
      <c r="AD822" s="6"/>
    </row>
    <row r="823">
      <c r="A823" s="6"/>
      <c r="B823" s="6"/>
      <c r="C823" s="6"/>
      <c r="D823" s="6"/>
      <c r="E823" s="6"/>
      <c r="F823" s="6"/>
      <c r="G823" s="6"/>
      <c r="H823" s="25"/>
      <c r="I823" s="25"/>
      <c r="J823" s="6"/>
      <c r="K823" s="6"/>
      <c r="L823" s="6"/>
      <c r="M823" s="6"/>
      <c r="N823" s="6"/>
      <c r="O823" s="6"/>
      <c r="P823" s="6"/>
      <c r="Q823" s="6"/>
      <c r="R823" s="6"/>
      <c r="S823" s="26"/>
      <c r="T823" s="26"/>
      <c r="U823" s="27"/>
      <c r="V823" s="6"/>
      <c r="W823" s="6"/>
      <c r="X823" s="6"/>
      <c r="Y823" s="6"/>
      <c r="Z823" s="6"/>
      <c r="AA823" s="6"/>
      <c r="AB823" s="6"/>
      <c r="AC823" s="6"/>
      <c r="AD823" s="6"/>
    </row>
    <row r="824">
      <c r="A824" s="6"/>
      <c r="B824" s="6"/>
      <c r="C824" s="6"/>
      <c r="D824" s="6"/>
      <c r="E824" s="6"/>
      <c r="F824" s="6"/>
      <c r="G824" s="6"/>
      <c r="H824" s="25"/>
      <c r="I824" s="25"/>
      <c r="J824" s="6"/>
      <c r="K824" s="6"/>
      <c r="L824" s="6"/>
      <c r="M824" s="6"/>
      <c r="N824" s="6"/>
      <c r="O824" s="6"/>
      <c r="P824" s="6"/>
      <c r="Q824" s="6"/>
      <c r="R824" s="6"/>
      <c r="S824" s="26"/>
      <c r="T824" s="26"/>
      <c r="U824" s="27"/>
      <c r="V824" s="6"/>
      <c r="W824" s="6"/>
      <c r="X824" s="6"/>
      <c r="Y824" s="6"/>
      <c r="Z824" s="6"/>
      <c r="AA824" s="6"/>
      <c r="AB824" s="6"/>
      <c r="AC824" s="6"/>
      <c r="AD824" s="6"/>
    </row>
    <row r="825">
      <c r="A825" s="6"/>
      <c r="B825" s="6"/>
      <c r="C825" s="6"/>
      <c r="D825" s="6"/>
      <c r="E825" s="6"/>
      <c r="F825" s="6"/>
      <c r="G825" s="6"/>
      <c r="H825" s="25"/>
      <c r="I825" s="25"/>
      <c r="J825" s="6"/>
      <c r="K825" s="6"/>
      <c r="L825" s="6"/>
      <c r="M825" s="6"/>
      <c r="N825" s="6"/>
      <c r="O825" s="6"/>
      <c r="P825" s="6"/>
      <c r="Q825" s="6"/>
      <c r="R825" s="6"/>
      <c r="S825" s="26"/>
      <c r="T825" s="26"/>
      <c r="U825" s="27"/>
      <c r="V825" s="6"/>
      <c r="W825" s="6"/>
      <c r="X825" s="6"/>
      <c r="Y825" s="6"/>
      <c r="Z825" s="6"/>
      <c r="AA825" s="6"/>
      <c r="AB825" s="6"/>
      <c r="AC825" s="6"/>
      <c r="AD825" s="6"/>
    </row>
    <row r="826">
      <c r="A826" s="6"/>
      <c r="B826" s="6"/>
      <c r="C826" s="6"/>
      <c r="D826" s="6"/>
      <c r="E826" s="6"/>
      <c r="F826" s="6"/>
      <c r="G826" s="6"/>
      <c r="H826" s="25"/>
      <c r="I826" s="25"/>
      <c r="J826" s="6"/>
      <c r="K826" s="6"/>
      <c r="L826" s="6"/>
      <c r="M826" s="6"/>
      <c r="N826" s="6"/>
      <c r="O826" s="6"/>
      <c r="P826" s="6"/>
      <c r="Q826" s="6"/>
      <c r="R826" s="6"/>
      <c r="S826" s="26"/>
      <c r="T826" s="26"/>
      <c r="U826" s="27"/>
      <c r="V826" s="6"/>
      <c r="W826" s="6"/>
      <c r="X826" s="6"/>
      <c r="Y826" s="6"/>
      <c r="Z826" s="6"/>
      <c r="AA826" s="6"/>
      <c r="AB826" s="6"/>
      <c r="AC826" s="6"/>
      <c r="AD826" s="6"/>
    </row>
    <row r="827">
      <c r="A827" s="6"/>
      <c r="B827" s="6"/>
      <c r="C827" s="6"/>
      <c r="D827" s="6"/>
      <c r="E827" s="6"/>
      <c r="F827" s="6"/>
      <c r="G827" s="6"/>
      <c r="H827" s="25"/>
      <c r="I827" s="25"/>
      <c r="J827" s="6"/>
      <c r="K827" s="6"/>
      <c r="L827" s="6"/>
      <c r="M827" s="6"/>
      <c r="N827" s="6"/>
      <c r="O827" s="6"/>
      <c r="P827" s="6"/>
      <c r="Q827" s="6"/>
      <c r="R827" s="6"/>
      <c r="S827" s="26"/>
      <c r="T827" s="26"/>
      <c r="U827" s="27"/>
      <c r="V827" s="6"/>
      <c r="W827" s="6"/>
      <c r="X827" s="6"/>
      <c r="Y827" s="6"/>
      <c r="Z827" s="6"/>
      <c r="AA827" s="6"/>
      <c r="AB827" s="6"/>
      <c r="AC827" s="6"/>
      <c r="AD827" s="6"/>
    </row>
    <row r="828">
      <c r="A828" s="6"/>
      <c r="B828" s="6"/>
      <c r="C828" s="6"/>
      <c r="D828" s="6"/>
      <c r="E828" s="6"/>
      <c r="F828" s="6"/>
      <c r="G828" s="6"/>
      <c r="H828" s="25"/>
      <c r="I828" s="25"/>
      <c r="J828" s="6"/>
      <c r="K828" s="6"/>
      <c r="L828" s="6"/>
      <c r="M828" s="6"/>
      <c r="N828" s="6"/>
      <c r="O828" s="6"/>
      <c r="P828" s="6"/>
      <c r="Q828" s="6"/>
      <c r="R828" s="6"/>
      <c r="S828" s="26"/>
      <c r="T828" s="26"/>
      <c r="U828" s="27"/>
      <c r="V828" s="6"/>
      <c r="W828" s="6"/>
      <c r="X828" s="6"/>
      <c r="Y828" s="6"/>
      <c r="Z828" s="6"/>
      <c r="AA828" s="6"/>
      <c r="AB828" s="6"/>
      <c r="AC828" s="6"/>
      <c r="AD828" s="6"/>
    </row>
    <row r="829">
      <c r="A829" s="6"/>
      <c r="B829" s="6"/>
      <c r="C829" s="6"/>
      <c r="D829" s="6"/>
      <c r="E829" s="6"/>
      <c r="F829" s="6"/>
      <c r="G829" s="6"/>
      <c r="H829" s="25"/>
      <c r="I829" s="25"/>
      <c r="J829" s="6"/>
      <c r="K829" s="6"/>
      <c r="L829" s="6"/>
      <c r="M829" s="6"/>
      <c r="N829" s="6"/>
      <c r="O829" s="6"/>
      <c r="P829" s="6"/>
      <c r="Q829" s="6"/>
      <c r="R829" s="6"/>
      <c r="S829" s="26"/>
      <c r="T829" s="26"/>
      <c r="U829" s="27"/>
      <c r="V829" s="6"/>
      <c r="W829" s="6"/>
      <c r="X829" s="6"/>
      <c r="Y829" s="6"/>
      <c r="Z829" s="6"/>
      <c r="AA829" s="6"/>
      <c r="AB829" s="6"/>
      <c r="AC829" s="6"/>
      <c r="AD829" s="6"/>
    </row>
    <row r="830">
      <c r="A830" s="6"/>
      <c r="B830" s="6"/>
      <c r="C830" s="6"/>
      <c r="D830" s="6"/>
      <c r="E830" s="6"/>
      <c r="F830" s="6"/>
      <c r="G830" s="6"/>
      <c r="H830" s="25"/>
      <c r="I830" s="25"/>
      <c r="J830" s="6"/>
      <c r="K830" s="6"/>
      <c r="L830" s="6"/>
      <c r="M830" s="6"/>
      <c r="N830" s="6"/>
      <c r="O830" s="6"/>
      <c r="P830" s="6"/>
      <c r="Q830" s="6"/>
      <c r="R830" s="6"/>
      <c r="S830" s="26"/>
      <c r="T830" s="26"/>
      <c r="U830" s="27"/>
      <c r="V830" s="6"/>
      <c r="W830" s="6"/>
      <c r="X830" s="6"/>
      <c r="Y830" s="6"/>
      <c r="Z830" s="6"/>
      <c r="AA830" s="6"/>
      <c r="AB830" s="6"/>
      <c r="AC830" s="6"/>
      <c r="AD830" s="6"/>
    </row>
    <row r="831">
      <c r="A831" s="6"/>
      <c r="B831" s="6"/>
      <c r="C831" s="6"/>
      <c r="D831" s="6"/>
      <c r="E831" s="6"/>
      <c r="F831" s="6"/>
      <c r="G831" s="6"/>
      <c r="H831" s="25"/>
      <c r="I831" s="25"/>
      <c r="J831" s="6"/>
      <c r="K831" s="6"/>
      <c r="L831" s="6"/>
      <c r="M831" s="6"/>
      <c r="N831" s="6"/>
      <c r="O831" s="6"/>
      <c r="P831" s="6"/>
      <c r="Q831" s="6"/>
      <c r="R831" s="6"/>
      <c r="S831" s="26"/>
      <c r="T831" s="26"/>
      <c r="U831" s="27"/>
      <c r="V831" s="6"/>
      <c r="W831" s="6"/>
      <c r="X831" s="6"/>
      <c r="Y831" s="6"/>
      <c r="Z831" s="6"/>
      <c r="AA831" s="6"/>
      <c r="AB831" s="6"/>
      <c r="AC831" s="6"/>
      <c r="AD831" s="6"/>
    </row>
    <row r="832">
      <c r="A832" s="6"/>
      <c r="B832" s="6"/>
      <c r="C832" s="6"/>
      <c r="D832" s="6"/>
      <c r="E832" s="6"/>
      <c r="F832" s="6"/>
      <c r="G832" s="6"/>
      <c r="H832" s="25"/>
      <c r="I832" s="25"/>
      <c r="J832" s="6"/>
      <c r="K832" s="6"/>
      <c r="L832" s="6"/>
      <c r="M832" s="6"/>
      <c r="N832" s="6"/>
      <c r="O832" s="6"/>
      <c r="P832" s="6"/>
      <c r="Q832" s="6"/>
      <c r="R832" s="6"/>
      <c r="S832" s="26"/>
      <c r="T832" s="26"/>
      <c r="U832" s="27"/>
      <c r="V832" s="6"/>
      <c r="W832" s="6"/>
      <c r="X832" s="6"/>
      <c r="Y832" s="6"/>
      <c r="Z832" s="6"/>
      <c r="AA832" s="6"/>
      <c r="AB832" s="6"/>
      <c r="AC832" s="6"/>
      <c r="AD832" s="6"/>
    </row>
    <row r="833">
      <c r="A833" s="6"/>
      <c r="B833" s="6"/>
      <c r="C833" s="6"/>
      <c r="D833" s="6"/>
      <c r="E833" s="6"/>
      <c r="F833" s="6"/>
      <c r="G833" s="6"/>
      <c r="H833" s="25"/>
      <c r="I833" s="25"/>
      <c r="J833" s="6"/>
      <c r="K833" s="6"/>
      <c r="L833" s="6"/>
      <c r="M833" s="6"/>
      <c r="N833" s="6"/>
      <c r="O833" s="6"/>
      <c r="P833" s="6"/>
      <c r="Q833" s="6"/>
      <c r="R833" s="6"/>
      <c r="S833" s="26"/>
      <c r="T833" s="26"/>
      <c r="U833" s="27"/>
      <c r="V833" s="6"/>
      <c r="W833" s="6"/>
      <c r="X833" s="6"/>
      <c r="Y833" s="6"/>
      <c r="Z833" s="6"/>
      <c r="AA833" s="6"/>
      <c r="AB833" s="6"/>
      <c r="AC833" s="6"/>
      <c r="AD833" s="6"/>
    </row>
    <row r="834">
      <c r="A834" s="6"/>
      <c r="B834" s="6"/>
      <c r="C834" s="6"/>
      <c r="D834" s="6"/>
      <c r="E834" s="6"/>
      <c r="F834" s="6"/>
      <c r="G834" s="6"/>
      <c r="H834" s="25"/>
      <c r="I834" s="25"/>
      <c r="J834" s="6"/>
      <c r="K834" s="6"/>
      <c r="L834" s="6"/>
      <c r="M834" s="6"/>
      <c r="N834" s="6"/>
      <c r="O834" s="6"/>
      <c r="P834" s="6"/>
      <c r="Q834" s="6"/>
      <c r="R834" s="6"/>
      <c r="S834" s="26"/>
      <c r="T834" s="26"/>
      <c r="U834" s="27"/>
      <c r="V834" s="6"/>
      <c r="W834" s="6"/>
      <c r="X834" s="6"/>
      <c r="Y834" s="6"/>
      <c r="Z834" s="6"/>
      <c r="AA834" s="6"/>
      <c r="AB834" s="6"/>
      <c r="AC834" s="6"/>
      <c r="AD834" s="6"/>
    </row>
    <row r="835">
      <c r="A835" s="6"/>
      <c r="B835" s="6"/>
      <c r="C835" s="6"/>
      <c r="D835" s="6"/>
      <c r="E835" s="6"/>
      <c r="F835" s="6"/>
      <c r="G835" s="6"/>
      <c r="H835" s="25"/>
      <c r="I835" s="25"/>
      <c r="J835" s="6"/>
      <c r="K835" s="6"/>
      <c r="L835" s="6"/>
      <c r="M835" s="6"/>
      <c r="N835" s="6"/>
      <c r="O835" s="6"/>
      <c r="P835" s="6"/>
      <c r="Q835" s="6"/>
      <c r="R835" s="6"/>
      <c r="S835" s="26"/>
      <c r="T835" s="26"/>
      <c r="U835" s="27"/>
      <c r="V835" s="6"/>
      <c r="W835" s="6"/>
      <c r="X835" s="6"/>
      <c r="Y835" s="6"/>
      <c r="Z835" s="6"/>
      <c r="AA835" s="6"/>
      <c r="AB835" s="6"/>
      <c r="AC835" s="6"/>
      <c r="AD835" s="6"/>
    </row>
    <row r="836">
      <c r="A836" s="6"/>
      <c r="B836" s="6"/>
      <c r="C836" s="6"/>
      <c r="D836" s="6"/>
      <c r="E836" s="6"/>
      <c r="F836" s="6"/>
      <c r="G836" s="6"/>
      <c r="H836" s="25"/>
      <c r="I836" s="25"/>
      <c r="J836" s="6"/>
      <c r="K836" s="6"/>
      <c r="L836" s="6"/>
      <c r="M836" s="6"/>
      <c r="N836" s="6"/>
      <c r="O836" s="6"/>
      <c r="P836" s="6"/>
      <c r="Q836" s="6"/>
      <c r="R836" s="6"/>
      <c r="S836" s="26"/>
      <c r="T836" s="26"/>
      <c r="U836" s="27"/>
      <c r="V836" s="6"/>
      <c r="W836" s="6"/>
      <c r="X836" s="6"/>
      <c r="Y836" s="6"/>
      <c r="Z836" s="6"/>
      <c r="AA836" s="6"/>
      <c r="AB836" s="6"/>
      <c r="AC836" s="6"/>
      <c r="AD836" s="6"/>
    </row>
    <row r="837">
      <c r="A837" s="6"/>
      <c r="B837" s="6"/>
      <c r="C837" s="6"/>
      <c r="D837" s="6"/>
      <c r="E837" s="6"/>
      <c r="F837" s="6"/>
      <c r="G837" s="6"/>
      <c r="H837" s="25"/>
      <c r="I837" s="25"/>
      <c r="J837" s="6"/>
      <c r="K837" s="6"/>
      <c r="L837" s="6"/>
      <c r="M837" s="6"/>
      <c r="N837" s="6"/>
      <c r="O837" s="6"/>
      <c r="P837" s="6"/>
      <c r="Q837" s="6"/>
      <c r="R837" s="6"/>
      <c r="S837" s="26"/>
      <c r="T837" s="26"/>
      <c r="U837" s="27"/>
      <c r="V837" s="6"/>
      <c r="W837" s="6"/>
      <c r="X837" s="6"/>
      <c r="Y837" s="6"/>
      <c r="Z837" s="6"/>
      <c r="AA837" s="6"/>
      <c r="AB837" s="6"/>
      <c r="AC837" s="6"/>
      <c r="AD837" s="6"/>
    </row>
    <row r="838">
      <c r="A838" s="6"/>
      <c r="B838" s="6"/>
      <c r="C838" s="6"/>
      <c r="D838" s="6"/>
      <c r="E838" s="6"/>
      <c r="F838" s="6"/>
      <c r="G838" s="6"/>
      <c r="H838" s="25"/>
      <c r="I838" s="25"/>
      <c r="J838" s="6"/>
      <c r="K838" s="6"/>
      <c r="L838" s="6"/>
      <c r="M838" s="6"/>
      <c r="N838" s="6"/>
      <c r="O838" s="6"/>
      <c r="P838" s="6"/>
      <c r="Q838" s="6"/>
      <c r="R838" s="6"/>
      <c r="S838" s="26"/>
      <c r="T838" s="26"/>
      <c r="U838" s="27"/>
      <c r="V838" s="6"/>
      <c r="W838" s="6"/>
      <c r="X838" s="6"/>
      <c r="Y838" s="6"/>
      <c r="Z838" s="6"/>
      <c r="AA838" s="6"/>
      <c r="AB838" s="6"/>
      <c r="AC838" s="6"/>
      <c r="AD838" s="6"/>
    </row>
    <row r="839">
      <c r="A839" s="6"/>
      <c r="B839" s="6"/>
      <c r="C839" s="6"/>
      <c r="D839" s="6"/>
      <c r="E839" s="6"/>
      <c r="F839" s="6"/>
      <c r="G839" s="6"/>
      <c r="H839" s="25"/>
      <c r="I839" s="25"/>
      <c r="J839" s="6"/>
      <c r="K839" s="6"/>
      <c r="L839" s="6"/>
      <c r="M839" s="6"/>
      <c r="N839" s="6"/>
      <c r="O839" s="6"/>
      <c r="P839" s="6"/>
      <c r="Q839" s="6"/>
      <c r="R839" s="6"/>
      <c r="S839" s="26"/>
      <c r="T839" s="26"/>
      <c r="U839" s="27"/>
      <c r="V839" s="6"/>
      <c r="W839" s="6"/>
      <c r="X839" s="6"/>
      <c r="Y839" s="6"/>
      <c r="Z839" s="6"/>
      <c r="AA839" s="6"/>
      <c r="AB839" s="6"/>
      <c r="AC839" s="6"/>
      <c r="AD839" s="6"/>
    </row>
    <row r="840">
      <c r="A840" s="6"/>
      <c r="B840" s="6"/>
      <c r="C840" s="6"/>
      <c r="D840" s="6"/>
      <c r="E840" s="6"/>
      <c r="F840" s="6"/>
      <c r="G840" s="6"/>
      <c r="H840" s="25"/>
      <c r="I840" s="25"/>
      <c r="J840" s="6"/>
      <c r="K840" s="6"/>
      <c r="L840" s="6"/>
      <c r="M840" s="6"/>
      <c r="N840" s="6"/>
      <c r="O840" s="6"/>
      <c r="P840" s="6"/>
      <c r="Q840" s="6"/>
      <c r="R840" s="6"/>
      <c r="S840" s="26"/>
      <c r="T840" s="26"/>
      <c r="U840" s="27"/>
      <c r="V840" s="6"/>
      <c r="W840" s="6"/>
      <c r="X840" s="6"/>
      <c r="Y840" s="6"/>
      <c r="Z840" s="6"/>
      <c r="AA840" s="6"/>
      <c r="AB840" s="6"/>
      <c r="AC840" s="6"/>
      <c r="AD840" s="6"/>
    </row>
    <row r="841">
      <c r="A841" s="6"/>
      <c r="B841" s="6"/>
      <c r="C841" s="6"/>
      <c r="D841" s="6"/>
      <c r="E841" s="6"/>
      <c r="F841" s="6"/>
      <c r="G841" s="6"/>
      <c r="H841" s="25"/>
      <c r="I841" s="25"/>
      <c r="J841" s="6"/>
      <c r="K841" s="6"/>
      <c r="L841" s="6"/>
      <c r="M841" s="6"/>
      <c r="N841" s="6"/>
      <c r="O841" s="6"/>
      <c r="P841" s="6"/>
      <c r="Q841" s="6"/>
      <c r="R841" s="6"/>
      <c r="S841" s="26"/>
      <c r="T841" s="26"/>
      <c r="U841" s="27"/>
      <c r="V841" s="6"/>
      <c r="W841" s="6"/>
      <c r="X841" s="6"/>
      <c r="Y841" s="6"/>
      <c r="Z841" s="6"/>
      <c r="AA841" s="6"/>
      <c r="AB841" s="6"/>
      <c r="AC841" s="6"/>
      <c r="AD841" s="6"/>
    </row>
    <row r="842">
      <c r="A842" s="6"/>
      <c r="B842" s="6"/>
      <c r="C842" s="6"/>
      <c r="D842" s="6"/>
      <c r="E842" s="6"/>
      <c r="F842" s="6"/>
      <c r="G842" s="6"/>
      <c r="H842" s="25"/>
      <c r="I842" s="25"/>
      <c r="J842" s="6"/>
      <c r="K842" s="6"/>
      <c r="L842" s="6"/>
      <c r="M842" s="6"/>
      <c r="N842" s="6"/>
      <c r="O842" s="6"/>
      <c r="P842" s="6"/>
      <c r="Q842" s="6"/>
      <c r="R842" s="6"/>
      <c r="S842" s="26"/>
      <c r="T842" s="26"/>
      <c r="U842" s="27"/>
      <c r="V842" s="6"/>
      <c r="W842" s="6"/>
      <c r="X842" s="6"/>
      <c r="Y842" s="6"/>
      <c r="Z842" s="6"/>
      <c r="AA842" s="6"/>
      <c r="AB842" s="6"/>
      <c r="AC842" s="6"/>
      <c r="AD842" s="6"/>
    </row>
    <row r="843">
      <c r="A843" s="6"/>
      <c r="B843" s="6"/>
      <c r="C843" s="6"/>
      <c r="D843" s="6"/>
      <c r="E843" s="6"/>
      <c r="F843" s="6"/>
      <c r="G843" s="6"/>
      <c r="H843" s="25"/>
      <c r="I843" s="25"/>
      <c r="J843" s="6"/>
      <c r="K843" s="6"/>
      <c r="L843" s="6"/>
      <c r="M843" s="6"/>
      <c r="N843" s="6"/>
      <c r="O843" s="6"/>
      <c r="P843" s="6"/>
      <c r="Q843" s="6"/>
      <c r="R843" s="6"/>
      <c r="S843" s="26"/>
      <c r="T843" s="26"/>
      <c r="U843" s="27"/>
      <c r="V843" s="6"/>
      <c r="W843" s="6"/>
      <c r="X843" s="6"/>
      <c r="Y843" s="6"/>
      <c r="Z843" s="6"/>
      <c r="AA843" s="6"/>
      <c r="AB843" s="6"/>
      <c r="AC843" s="6"/>
      <c r="AD843" s="6"/>
    </row>
    <row r="844">
      <c r="A844" s="6"/>
      <c r="B844" s="6"/>
      <c r="C844" s="6"/>
      <c r="D844" s="6"/>
      <c r="E844" s="6"/>
      <c r="F844" s="6"/>
      <c r="G844" s="6"/>
      <c r="H844" s="25"/>
      <c r="I844" s="25"/>
      <c r="J844" s="6"/>
      <c r="K844" s="6"/>
      <c r="L844" s="6"/>
      <c r="M844" s="6"/>
      <c r="N844" s="6"/>
      <c r="O844" s="6"/>
      <c r="P844" s="6"/>
      <c r="Q844" s="6"/>
      <c r="R844" s="6"/>
      <c r="S844" s="26"/>
      <c r="T844" s="26"/>
      <c r="U844" s="27"/>
      <c r="V844" s="6"/>
      <c r="W844" s="6"/>
      <c r="X844" s="6"/>
      <c r="Y844" s="6"/>
      <c r="Z844" s="6"/>
      <c r="AA844" s="6"/>
      <c r="AB844" s="6"/>
      <c r="AC844" s="6"/>
      <c r="AD844" s="6"/>
    </row>
    <row r="845">
      <c r="A845" s="6"/>
      <c r="B845" s="6"/>
      <c r="C845" s="6"/>
      <c r="D845" s="6"/>
      <c r="E845" s="6"/>
      <c r="F845" s="6"/>
      <c r="G845" s="6"/>
      <c r="H845" s="25"/>
      <c r="I845" s="25"/>
      <c r="J845" s="6"/>
      <c r="K845" s="6"/>
      <c r="L845" s="6"/>
      <c r="M845" s="6"/>
      <c r="N845" s="6"/>
      <c r="O845" s="6"/>
      <c r="P845" s="6"/>
      <c r="Q845" s="6"/>
      <c r="R845" s="6"/>
      <c r="S845" s="26"/>
      <c r="T845" s="26"/>
      <c r="U845" s="27"/>
      <c r="V845" s="6"/>
      <c r="W845" s="6"/>
      <c r="X845" s="6"/>
      <c r="Y845" s="6"/>
      <c r="Z845" s="6"/>
      <c r="AA845" s="6"/>
      <c r="AB845" s="6"/>
      <c r="AC845" s="6"/>
      <c r="AD845" s="6"/>
    </row>
    <row r="846">
      <c r="A846" s="6"/>
      <c r="B846" s="6"/>
      <c r="C846" s="6"/>
      <c r="D846" s="6"/>
      <c r="E846" s="6"/>
      <c r="F846" s="6"/>
      <c r="G846" s="6"/>
      <c r="H846" s="25"/>
      <c r="I846" s="25"/>
      <c r="J846" s="6"/>
      <c r="K846" s="6"/>
      <c r="L846" s="6"/>
      <c r="M846" s="6"/>
      <c r="N846" s="6"/>
      <c r="O846" s="6"/>
      <c r="P846" s="6"/>
      <c r="Q846" s="6"/>
      <c r="R846" s="6"/>
      <c r="S846" s="26"/>
      <c r="T846" s="26"/>
      <c r="U846" s="27"/>
      <c r="V846" s="6"/>
      <c r="W846" s="6"/>
      <c r="X846" s="6"/>
      <c r="Y846" s="6"/>
      <c r="Z846" s="6"/>
      <c r="AA846" s="6"/>
      <c r="AB846" s="6"/>
      <c r="AC846" s="6"/>
      <c r="AD846" s="6"/>
    </row>
    <row r="847">
      <c r="A847" s="6"/>
      <c r="B847" s="6"/>
      <c r="C847" s="6"/>
      <c r="D847" s="6"/>
      <c r="E847" s="6"/>
      <c r="F847" s="6"/>
      <c r="G847" s="6"/>
      <c r="H847" s="25"/>
      <c r="I847" s="25"/>
      <c r="J847" s="6"/>
      <c r="K847" s="6"/>
      <c r="L847" s="6"/>
      <c r="M847" s="6"/>
      <c r="N847" s="6"/>
      <c r="O847" s="6"/>
      <c r="P847" s="6"/>
      <c r="Q847" s="6"/>
      <c r="R847" s="6"/>
      <c r="S847" s="26"/>
      <c r="T847" s="26"/>
      <c r="U847" s="27"/>
      <c r="V847" s="6"/>
      <c r="W847" s="6"/>
      <c r="X847" s="6"/>
      <c r="Y847" s="6"/>
      <c r="Z847" s="6"/>
      <c r="AA847" s="6"/>
      <c r="AB847" s="6"/>
      <c r="AC847" s="6"/>
      <c r="AD847" s="6"/>
    </row>
    <row r="848">
      <c r="A848" s="6"/>
      <c r="B848" s="6"/>
      <c r="C848" s="6"/>
      <c r="D848" s="6"/>
      <c r="E848" s="6"/>
      <c r="F848" s="6"/>
      <c r="G848" s="6"/>
      <c r="H848" s="25"/>
      <c r="I848" s="25"/>
      <c r="J848" s="6"/>
      <c r="K848" s="6"/>
      <c r="L848" s="6"/>
      <c r="M848" s="6"/>
      <c r="N848" s="6"/>
      <c r="O848" s="6"/>
      <c r="P848" s="6"/>
      <c r="Q848" s="6"/>
      <c r="R848" s="6"/>
      <c r="S848" s="26"/>
      <c r="T848" s="26"/>
      <c r="U848" s="27"/>
      <c r="V848" s="6"/>
      <c r="W848" s="6"/>
      <c r="X848" s="6"/>
      <c r="Y848" s="6"/>
      <c r="Z848" s="6"/>
      <c r="AA848" s="6"/>
      <c r="AB848" s="6"/>
      <c r="AC848" s="6"/>
      <c r="AD848" s="6"/>
    </row>
    <row r="849">
      <c r="A849" s="6"/>
      <c r="B849" s="6"/>
      <c r="C849" s="6"/>
      <c r="D849" s="6"/>
      <c r="E849" s="6"/>
      <c r="F849" s="6"/>
      <c r="G849" s="6"/>
      <c r="H849" s="25"/>
      <c r="I849" s="25"/>
      <c r="J849" s="6"/>
      <c r="K849" s="6"/>
      <c r="L849" s="6"/>
      <c r="M849" s="6"/>
      <c r="N849" s="6"/>
      <c r="O849" s="6"/>
      <c r="P849" s="6"/>
      <c r="Q849" s="6"/>
      <c r="R849" s="6"/>
      <c r="S849" s="26"/>
      <c r="T849" s="26"/>
      <c r="U849" s="27"/>
      <c r="V849" s="6"/>
      <c r="W849" s="6"/>
      <c r="X849" s="6"/>
      <c r="Y849" s="6"/>
      <c r="Z849" s="6"/>
      <c r="AA849" s="6"/>
      <c r="AB849" s="6"/>
      <c r="AC849" s="6"/>
      <c r="AD849" s="6"/>
    </row>
    <row r="850">
      <c r="A850" s="6"/>
      <c r="B850" s="6"/>
      <c r="C850" s="6"/>
      <c r="D850" s="6"/>
      <c r="E850" s="6"/>
      <c r="F850" s="6"/>
      <c r="G850" s="6"/>
      <c r="H850" s="25"/>
      <c r="I850" s="25"/>
      <c r="J850" s="6"/>
      <c r="K850" s="6"/>
      <c r="L850" s="6"/>
      <c r="M850" s="6"/>
      <c r="N850" s="6"/>
      <c r="O850" s="6"/>
      <c r="P850" s="6"/>
      <c r="Q850" s="6"/>
      <c r="R850" s="6"/>
      <c r="S850" s="26"/>
      <c r="T850" s="26"/>
      <c r="U850" s="27"/>
      <c r="V850" s="6"/>
      <c r="W850" s="6"/>
      <c r="X850" s="6"/>
      <c r="Y850" s="6"/>
      <c r="Z850" s="6"/>
      <c r="AA850" s="6"/>
      <c r="AB850" s="6"/>
      <c r="AC850" s="6"/>
      <c r="AD850" s="6"/>
    </row>
    <row r="851">
      <c r="A851" s="6"/>
      <c r="B851" s="6"/>
      <c r="C851" s="6"/>
      <c r="D851" s="6"/>
      <c r="E851" s="6"/>
      <c r="F851" s="6"/>
      <c r="G851" s="6"/>
      <c r="H851" s="25"/>
      <c r="I851" s="25"/>
      <c r="J851" s="6"/>
      <c r="K851" s="6"/>
      <c r="L851" s="6"/>
      <c r="M851" s="6"/>
      <c r="N851" s="6"/>
      <c r="O851" s="6"/>
      <c r="P851" s="6"/>
      <c r="Q851" s="6"/>
      <c r="R851" s="6"/>
      <c r="S851" s="26"/>
      <c r="T851" s="26"/>
      <c r="U851" s="27"/>
      <c r="V851" s="6"/>
      <c r="W851" s="6"/>
      <c r="X851" s="6"/>
      <c r="Y851" s="6"/>
      <c r="Z851" s="6"/>
      <c r="AA851" s="6"/>
      <c r="AB851" s="6"/>
      <c r="AC851" s="6"/>
      <c r="AD851" s="6"/>
    </row>
    <row r="852">
      <c r="A852" s="6"/>
      <c r="B852" s="6"/>
      <c r="C852" s="6"/>
      <c r="D852" s="6"/>
      <c r="E852" s="6"/>
      <c r="F852" s="6"/>
      <c r="G852" s="6"/>
      <c r="H852" s="25"/>
      <c r="I852" s="25"/>
      <c r="J852" s="6"/>
      <c r="K852" s="6"/>
      <c r="L852" s="6"/>
      <c r="M852" s="6"/>
      <c r="N852" s="6"/>
      <c r="O852" s="6"/>
      <c r="P852" s="6"/>
      <c r="Q852" s="6"/>
      <c r="R852" s="6"/>
      <c r="S852" s="26"/>
      <c r="T852" s="26"/>
      <c r="U852" s="27"/>
      <c r="V852" s="6"/>
      <c r="W852" s="6"/>
      <c r="X852" s="6"/>
      <c r="Y852" s="6"/>
      <c r="Z852" s="6"/>
      <c r="AA852" s="6"/>
      <c r="AB852" s="6"/>
      <c r="AC852" s="6"/>
      <c r="AD852" s="6"/>
    </row>
    <row r="853">
      <c r="A853" s="6"/>
      <c r="B853" s="6"/>
      <c r="C853" s="6"/>
      <c r="D853" s="6"/>
      <c r="E853" s="6"/>
      <c r="F853" s="6"/>
      <c r="G853" s="6"/>
      <c r="H853" s="25"/>
      <c r="I853" s="25"/>
      <c r="J853" s="6"/>
      <c r="K853" s="6"/>
      <c r="L853" s="6"/>
      <c r="M853" s="6"/>
      <c r="N853" s="6"/>
      <c r="O853" s="6"/>
      <c r="P853" s="6"/>
      <c r="Q853" s="6"/>
      <c r="R853" s="6"/>
      <c r="S853" s="26"/>
      <c r="T853" s="26"/>
      <c r="U853" s="27"/>
      <c r="V853" s="6"/>
      <c r="W853" s="6"/>
      <c r="X853" s="6"/>
      <c r="Y853" s="6"/>
      <c r="Z853" s="6"/>
      <c r="AA853" s="6"/>
      <c r="AB853" s="6"/>
      <c r="AC853" s="6"/>
      <c r="AD853" s="6"/>
    </row>
    <row r="854">
      <c r="A854" s="6"/>
      <c r="B854" s="6"/>
      <c r="C854" s="6"/>
      <c r="D854" s="6"/>
      <c r="E854" s="6"/>
      <c r="F854" s="6"/>
      <c r="G854" s="6"/>
      <c r="H854" s="25"/>
      <c r="I854" s="25"/>
      <c r="J854" s="6"/>
      <c r="K854" s="6"/>
      <c r="L854" s="6"/>
      <c r="M854" s="6"/>
      <c r="N854" s="6"/>
      <c r="O854" s="6"/>
      <c r="P854" s="6"/>
      <c r="Q854" s="6"/>
      <c r="R854" s="6"/>
      <c r="S854" s="26"/>
      <c r="T854" s="26"/>
      <c r="U854" s="27"/>
      <c r="V854" s="6"/>
      <c r="W854" s="6"/>
      <c r="X854" s="6"/>
      <c r="Y854" s="6"/>
      <c r="Z854" s="6"/>
      <c r="AA854" s="6"/>
      <c r="AB854" s="6"/>
      <c r="AC854" s="6"/>
      <c r="AD854" s="6"/>
    </row>
    <row r="855">
      <c r="A855" s="6"/>
      <c r="B855" s="6"/>
      <c r="C855" s="6"/>
      <c r="D855" s="6"/>
      <c r="E855" s="6"/>
      <c r="F855" s="6"/>
      <c r="G855" s="6"/>
      <c r="H855" s="25"/>
      <c r="I855" s="25"/>
      <c r="J855" s="6"/>
      <c r="K855" s="6"/>
      <c r="L855" s="6"/>
      <c r="M855" s="6"/>
      <c r="N855" s="6"/>
      <c r="O855" s="6"/>
      <c r="P855" s="6"/>
      <c r="Q855" s="6"/>
      <c r="R855" s="6"/>
      <c r="S855" s="26"/>
      <c r="T855" s="26"/>
      <c r="U855" s="27"/>
      <c r="V855" s="6"/>
      <c r="W855" s="6"/>
      <c r="X855" s="6"/>
      <c r="Y855" s="6"/>
      <c r="Z855" s="6"/>
      <c r="AA855" s="6"/>
      <c r="AB855" s="6"/>
      <c r="AC855" s="6"/>
      <c r="AD855" s="6"/>
    </row>
    <row r="856">
      <c r="A856" s="6"/>
      <c r="B856" s="6"/>
      <c r="C856" s="6"/>
      <c r="D856" s="6"/>
      <c r="E856" s="6"/>
      <c r="F856" s="6"/>
      <c r="G856" s="6"/>
      <c r="H856" s="25"/>
      <c r="I856" s="25"/>
      <c r="J856" s="6"/>
      <c r="K856" s="6"/>
      <c r="L856" s="6"/>
      <c r="M856" s="6"/>
      <c r="N856" s="6"/>
      <c r="O856" s="6"/>
      <c r="P856" s="6"/>
      <c r="Q856" s="6"/>
      <c r="R856" s="6"/>
      <c r="S856" s="26"/>
      <c r="T856" s="26"/>
      <c r="U856" s="27"/>
      <c r="V856" s="6"/>
      <c r="W856" s="6"/>
      <c r="X856" s="6"/>
      <c r="Y856" s="6"/>
      <c r="Z856" s="6"/>
      <c r="AA856" s="6"/>
      <c r="AB856" s="6"/>
      <c r="AC856" s="6"/>
      <c r="AD856" s="6"/>
    </row>
    <row r="857">
      <c r="A857" s="6"/>
      <c r="B857" s="6"/>
      <c r="C857" s="6"/>
      <c r="D857" s="6"/>
      <c r="E857" s="6"/>
      <c r="F857" s="6"/>
      <c r="G857" s="6"/>
      <c r="H857" s="25"/>
      <c r="I857" s="25"/>
      <c r="J857" s="6"/>
      <c r="K857" s="6"/>
      <c r="L857" s="6"/>
      <c r="M857" s="6"/>
      <c r="N857" s="6"/>
      <c r="O857" s="6"/>
      <c r="P857" s="6"/>
      <c r="Q857" s="6"/>
      <c r="R857" s="6"/>
      <c r="S857" s="26"/>
      <c r="T857" s="26"/>
      <c r="U857" s="27"/>
      <c r="V857" s="6"/>
      <c r="W857" s="6"/>
      <c r="X857" s="6"/>
      <c r="Y857" s="6"/>
      <c r="Z857" s="6"/>
      <c r="AA857" s="6"/>
      <c r="AB857" s="6"/>
      <c r="AC857" s="6"/>
      <c r="AD857" s="6"/>
    </row>
    <row r="858">
      <c r="A858" s="6"/>
      <c r="B858" s="6"/>
      <c r="C858" s="6"/>
      <c r="D858" s="6"/>
      <c r="E858" s="6"/>
      <c r="F858" s="6"/>
      <c r="G858" s="6"/>
      <c r="H858" s="25"/>
      <c r="I858" s="25"/>
      <c r="J858" s="6"/>
      <c r="K858" s="6"/>
      <c r="L858" s="6"/>
      <c r="M858" s="6"/>
      <c r="N858" s="6"/>
      <c r="O858" s="6"/>
      <c r="P858" s="6"/>
      <c r="Q858" s="6"/>
      <c r="R858" s="6"/>
      <c r="S858" s="26"/>
      <c r="T858" s="26"/>
      <c r="U858" s="27"/>
      <c r="V858" s="6"/>
      <c r="W858" s="6"/>
      <c r="X858" s="6"/>
      <c r="Y858" s="6"/>
      <c r="Z858" s="6"/>
      <c r="AA858" s="6"/>
      <c r="AB858" s="6"/>
      <c r="AC858" s="6"/>
      <c r="AD858" s="6"/>
    </row>
    <row r="859">
      <c r="A859" s="6"/>
      <c r="B859" s="6"/>
      <c r="C859" s="6"/>
      <c r="D859" s="6"/>
      <c r="E859" s="6"/>
      <c r="F859" s="6"/>
      <c r="G859" s="6"/>
      <c r="H859" s="25"/>
      <c r="I859" s="25"/>
      <c r="J859" s="6"/>
      <c r="K859" s="6"/>
      <c r="L859" s="6"/>
      <c r="M859" s="6"/>
      <c r="N859" s="6"/>
      <c r="O859" s="6"/>
      <c r="P859" s="6"/>
      <c r="Q859" s="6"/>
      <c r="R859" s="6"/>
      <c r="S859" s="26"/>
      <c r="T859" s="26"/>
      <c r="U859" s="27"/>
      <c r="V859" s="6"/>
      <c r="W859" s="6"/>
      <c r="X859" s="6"/>
      <c r="Y859" s="6"/>
      <c r="Z859" s="6"/>
      <c r="AA859" s="6"/>
      <c r="AB859" s="6"/>
      <c r="AC859" s="6"/>
      <c r="AD859" s="6"/>
    </row>
    <row r="860">
      <c r="A860" s="6"/>
      <c r="B860" s="6"/>
      <c r="C860" s="6"/>
      <c r="D860" s="6"/>
      <c r="E860" s="6"/>
      <c r="F860" s="6"/>
      <c r="G860" s="6"/>
      <c r="H860" s="25"/>
      <c r="I860" s="25"/>
      <c r="J860" s="6"/>
      <c r="K860" s="6"/>
      <c r="L860" s="6"/>
      <c r="M860" s="6"/>
      <c r="N860" s="6"/>
      <c r="O860" s="6"/>
      <c r="P860" s="6"/>
      <c r="Q860" s="6"/>
      <c r="R860" s="6"/>
      <c r="S860" s="26"/>
      <c r="T860" s="26"/>
      <c r="U860" s="27"/>
      <c r="V860" s="6"/>
      <c r="W860" s="6"/>
      <c r="X860" s="6"/>
      <c r="Y860" s="6"/>
      <c r="Z860" s="6"/>
      <c r="AA860" s="6"/>
      <c r="AB860" s="6"/>
      <c r="AC860" s="6"/>
      <c r="AD860" s="6"/>
    </row>
    <row r="861">
      <c r="A861" s="6"/>
      <c r="B861" s="6"/>
      <c r="C861" s="6"/>
      <c r="D861" s="6"/>
      <c r="E861" s="6"/>
      <c r="F861" s="6"/>
      <c r="G861" s="6"/>
      <c r="H861" s="25"/>
      <c r="I861" s="25"/>
      <c r="J861" s="6"/>
      <c r="K861" s="6"/>
      <c r="L861" s="6"/>
      <c r="M861" s="6"/>
      <c r="N861" s="6"/>
      <c r="O861" s="6"/>
      <c r="P861" s="6"/>
      <c r="Q861" s="6"/>
      <c r="R861" s="6"/>
      <c r="S861" s="26"/>
      <c r="T861" s="26"/>
      <c r="U861" s="27"/>
      <c r="V861" s="6"/>
      <c r="W861" s="6"/>
      <c r="X861" s="6"/>
      <c r="Y861" s="6"/>
      <c r="Z861" s="6"/>
      <c r="AA861" s="6"/>
      <c r="AB861" s="6"/>
      <c r="AC861" s="6"/>
      <c r="AD861" s="6"/>
    </row>
    <row r="862">
      <c r="A862" s="6"/>
      <c r="B862" s="6"/>
      <c r="C862" s="6"/>
      <c r="D862" s="6"/>
      <c r="E862" s="6"/>
      <c r="F862" s="6"/>
      <c r="G862" s="6"/>
      <c r="H862" s="25"/>
      <c r="I862" s="25"/>
      <c r="J862" s="6"/>
      <c r="K862" s="6"/>
      <c r="L862" s="6"/>
      <c r="M862" s="6"/>
      <c r="N862" s="6"/>
      <c r="O862" s="6"/>
      <c r="P862" s="6"/>
      <c r="Q862" s="6"/>
      <c r="R862" s="6"/>
      <c r="S862" s="26"/>
      <c r="T862" s="26"/>
      <c r="U862" s="27"/>
      <c r="V862" s="6"/>
      <c r="W862" s="6"/>
      <c r="X862" s="6"/>
      <c r="Y862" s="6"/>
      <c r="Z862" s="6"/>
      <c r="AA862" s="6"/>
      <c r="AB862" s="6"/>
      <c r="AC862" s="6"/>
      <c r="AD862" s="6"/>
    </row>
    <row r="863">
      <c r="A863" s="6"/>
      <c r="B863" s="6"/>
      <c r="C863" s="6"/>
      <c r="D863" s="6"/>
      <c r="E863" s="6"/>
      <c r="F863" s="6"/>
      <c r="G863" s="6"/>
      <c r="H863" s="25"/>
      <c r="I863" s="25"/>
      <c r="J863" s="6"/>
      <c r="K863" s="6"/>
      <c r="L863" s="6"/>
      <c r="M863" s="6"/>
      <c r="N863" s="6"/>
      <c r="O863" s="6"/>
      <c r="P863" s="6"/>
      <c r="Q863" s="6"/>
      <c r="R863" s="6"/>
      <c r="S863" s="26"/>
      <c r="T863" s="26"/>
      <c r="U863" s="27"/>
      <c r="V863" s="6"/>
      <c r="W863" s="6"/>
      <c r="X863" s="6"/>
      <c r="Y863" s="6"/>
      <c r="Z863" s="6"/>
      <c r="AA863" s="6"/>
      <c r="AB863" s="6"/>
      <c r="AC863" s="6"/>
      <c r="AD863" s="6"/>
    </row>
    <row r="864">
      <c r="A864" s="6"/>
      <c r="B864" s="6"/>
      <c r="C864" s="6"/>
      <c r="D864" s="6"/>
      <c r="E864" s="6"/>
      <c r="F864" s="6"/>
      <c r="G864" s="6"/>
      <c r="H864" s="25"/>
      <c r="I864" s="25"/>
      <c r="J864" s="6"/>
      <c r="K864" s="6"/>
      <c r="L864" s="6"/>
      <c r="M864" s="6"/>
      <c r="N864" s="6"/>
      <c r="O864" s="6"/>
      <c r="P864" s="6"/>
      <c r="Q864" s="6"/>
      <c r="R864" s="6"/>
      <c r="S864" s="26"/>
      <c r="T864" s="26"/>
      <c r="U864" s="27"/>
      <c r="V864" s="6"/>
      <c r="W864" s="6"/>
      <c r="X864" s="6"/>
      <c r="Y864" s="6"/>
      <c r="Z864" s="6"/>
      <c r="AA864" s="6"/>
      <c r="AB864" s="6"/>
      <c r="AC864" s="6"/>
      <c r="AD864" s="6"/>
    </row>
    <row r="865">
      <c r="A865" s="6"/>
      <c r="B865" s="6"/>
      <c r="C865" s="6"/>
      <c r="D865" s="6"/>
      <c r="E865" s="6"/>
      <c r="F865" s="6"/>
      <c r="G865" s="6"/>
      <c r="H865" s="25"/>
      <c r="I865" s="25"/>
      <c r="J865" s="6"/>
      <c r="K865" s="6"/>
      <c r="L865" s="6"/>
      <c r="M865" s="6"/>
      <c r="N865" s="6"/>
      <c r="O865" s="6"/>
      <c r="P865" s="6"/>
      <c r="Q865" s="6"/>
      <c r="R865" s="6"/>
      <c r="S865" s="26"/>
      <c r="T865" s="26"/>
      <c r="U865" s="27"/>
      <c r="V865" s="6"/>
      <c r="W865" s="6"/>
      <c r="X865" s="6"/>
      <c r="Y865" s="6"/>
      <c r="Z865" s="6"/>
      <c r="AA865" s="6"/>
      <c r="AB865" s="6"/>
      <c r="AC865" s="6"/>
      <c r="AD865" s="6"/>
    </row>
    <row r="866">
      <c r="A866" s="6"/>
      <c r="B866" s="6"/>
      <c r="C866" s="6"/>
      <c r="D866" s="6"/>
      <c r="E866" s="6"/>
      <c r="F866" s="6"/>
      <c r="G866" s="6"/>
      <c r="H866" s="25"/>
      <c r="I866" s="25"/>
      <c r="J866" s="6"/>
      <c r="K866" s="6"/>
      <c r="L866" s="6"/>
      <c r="M866" s="6"/>
      <c r="N866" s="6"/>
      <c r="O866" s="6"/>
      <c r="P866" s="6"/>
      <c r="Q866" s="6"/>
      <c r="R866" s="6"/>
      <c r="S866" s="26"/>
      <c r="T866" s="26"/>
      <c r="U866" s="27"/>
      <c r="V866" s="6"/>
      <c r="W866" s="6"/>
      <c r="X866" s="6"/>
      <c r="Y866" s="6"/>
      <c r="Z866" s="6"/>
      <c r="AA866" s="6"/>
      <c r="AB866" s="6"/>
      <c r="AC866" s="6"/>
      <c r="AD866" s="6"/>
    </row>
    <row r="867">
      <c r="A867" s="6"/>
      <c r="B867" s="6"/>
      <c r="C867" s="6"/>
      <c r="D867" s="6"/>
      <c r="E867" s="6"/>
      <c r="F867" s="6"/>
      <c r="G867" s="6"/>
      <c r="H867" s="25"/>
      <c r="I867" s="25"/>
      <c r="J867" s="6"/>
      <c r="K867" s="6"/>
      <c r="L867" s="6"/>
      <c r="M867" s="6"/>
      <c r="N867" s="6"/>
      <c r="O867" s="6"/>
      <c r="P867" s="6"/>
      <c r="Q867" s="6"/>
      <c r="R867" s="6"/>
      <c r="S867" s="26"/>
      <c r="T867" s="26"/>
      <c r="U867" s="27"/>
      <c r="V867" s="6"/>
      <c r="W867" s="6"/>
      <c r="X867" s="6"/>
      <c r="Y867" s="6"/>
      <c r="Z867" s="6"/>
      <c r="AA867" s="6"/>
      <c r="AB867" s="6"/>
      <c r="AC867" s="6"/>
      <c r="AD867" s="6"/>
    </row>
    <row r="868">
      <c r="A868" s="6"/>
      <c r="B868" s="6"/>
      <c r="C868" s="6"/>
      <c r="D868" s="6"/>
      <c r="E868" s="6"/>
      <c r="F868" s="6"/>
      <c r="G868" s="6"/>
      <c r="H868" s="25"/>
      <c r="I868" s="25"/>
      <c r="J868" s="6"/>
      <c r="K868" s="6"/>
      <c r="L868" s="6"/>
      <c r="M868" s="6"/>
      <c r="N868" s="6"/>
      <c r="O868" s="6"/>
      <c r="P868" s="6"/>
      <c r="Q868" s="6"/>
      <c r="R868" s="6"/>
      <c r="S868" s="26"/>
      <c r="T868" s="26"/>
      <c r="U868" s="27"/>
      <c r="V868" s="6"/>
      <c r="W868" s="6"/>
      <c r="X868" s="6"/>
      <c r="Y868" s="6"/>
      <c r="Z868" s="6"/>
      <c r="AA868" s="6"/>
      <c r="AB868" s="6"/>
      <c r="AC868" s="6"/>
      <c r="AD868" s="6"/>
    </row>
    <row r="869">
      <c r="A869" s="6"/>
      <c r="B869" s="6"/>
      <c r="C869" s="6"/>
      <c r="D869" s="6"/>
      <c r="E869" s="6"/>
      <c r="F869" s="6"/>
      <c r="G869" s="6"/>
      <c r="H869" s="25"/>
      <c r="I869" s="25"/>
      <c r="J869" s="6"/>
      <c r="K869" s="6"/>
      <c r="L869" s="6"/>
      <c r="M869" s="6"/>
      <c r="N869" s="6"/>
      <c r="O869" s="6"/>
      <c r="P869" s="6"/>
      <c r="Q869" s="6"/>
      <c r="R869" s="6"/>
      <c r="S869" s="26"/>
      <c r="T869" s="26"/>
      <c r="U869" s="27"/>
      <c r="V869" s="6"/>
      <c r="W869" s="6"/>
      <c r="X869" s="6"/>
      <c r="Y869" s="6"/>
      <c r="Z869" s="6"/>
      <c r="AA869" s="6"/>
      <c r="AB869" s="6"/>
      <c r="AC869" s="6"/>
      <c r="AD869" s="6"/>
    </row>
    <row r="870">
      <c r="A870" s="6"/>
      <c r="B870" s="6"/>
      <c r="C870" s="6"/>
      <c r="D870" s="6"/>
      <c r="E870" s="6"/>
      <c r="F870" s="6"/>
      <c r="G870" s="6"/>
      <c r="H870" s="25"/>
      <c r="I870" s="25"/>
      <c r="J870" s="6"/>
      <c r="K870" s="6"/>
      <c r="L870" s="6"/>
      <c r="M870" s="6"/>
      <c r="N870" s="6"/>
      <c r="O870" s="6"/>
      <c r="P870" s="6"/>
      <c r="Q870" s="6"/>
      <c r="R870" s="6"/>
      <c r="S870" s="26"/>
      <c r="T870" s="26"/>
      <c r="U870" s="27"/>
      <c r="V870" s="6"/>
      <c r="W870" s="6"/>
      <c r="X870" s="6"/>
      <c r="Y870" s="6"/>
      <c r="Z870" s="6"/>
      <c r="AA870" s="6"/>
      <c r="AB870" s="6"/>
      <c r="AC870" s="6"/>
      <c r="AD870" s="6"/>
    </row>
    <row r="871">
      <c r="A871" s="6"/>
      <c r="B871" s="6"/>
      <c r="C871" s="6"/>
      <c r="D871" s="6"/>
      <c r="E871" s="6"/>
      <c r="F871" s="6"/>
      <c r="G871" s="6"/>
      <c r="H871" s="25"/>
      <c r="I871" s="25"/>
      <c r="J871" s="6"/>
      <c r="K871" s="6"/>
      <c r="L871" s="6"/>
      <c r="M871" s="6"/>
      <c r="N871" s="6"/>
      <c r="O871" s="6"/>
      <c r="P871" s="6"/>
      <c r="Q871" s="6"/>
      <c r="R871" s="6"/>
      <c r="S871" s="26"/>
      <c r="T871" s="26"/>
      <c r="U871" s="27"/>
      <c r="V871" s="6"/>
      <c r="W871" s="6"/>
      <c r="X871" s="6"/>
      <c r="Y871" s="6"/>
      <c r="Z871" s="6"/>
      <c r="AA871" s="6"/>
      <c r="AB871" s="6"/>
      <c r="AC871" s="6"/>
      <c r="AD871" s="6"/>
    </row>
    <row r="872">
      <c r="A872" s="6"/>
      <c r="B872" s="6"/>
      <c r="C872" s="6"/>
      <c r="D872" s="6"/>
      <c r="E872" s="6"/>
      <c r="F872" s="6"/>
      <c r="G872" s="6"/>
      <c r="H872" s="25"/>
      <c r="I872" s="25"/>
      <c r="J872" s="6"/>
      <c r="K872" s="6"/>
      <c r="L872" s="6"/>
      <c r="M872" s="6"/>
      <c r="N872" s="6"/>
      <c r="O872" s="6"/>
      <c r="P872" s="6"/>
      <c r="Q872" s="6"/>
      <c r="R872" s="6"/>
      <c r="S872" s="26"/>
      <c r="T872" s="26"/>
      <c r="U872" s="27"/>
      <c r="V872" s="6"/>
      <c r="W872" s="6"/>
      <c r="X872" s="6"/>
      <c r="Y872" s="6"/>
      <c r="Z872" s="6"/>
      <c r="AA872" s="6"/>
      <c r="AB872" s="6"/>
      <c r="AC872" s="6"/>
      <c r="AD872" s="6"/>
    </row>
    <row r="873">
      <c r="A873" s="6"/>
      <c r="B873" s="6"/>
      <c r="C873" s="6"/>
      <c r="D873" s="6"/>
      <c r="E873" s="6"/>
      <c r="F873" s="6"/>
      <c r="G873" s="6"/>
      <c r="H873" s="25"/>
      <c r="I873" s="25"/>
      <c r="J873" s="6"/>
      <c r="K873" s="6"/>
      <c r="L873" s="6"/>
      <c r="M873" s="6"/>
      <c r="N873" s="6"/>
      <c r="O873" s="6"/>
      <c r="P873" s="6"/>
      <c r="Q873" s="6"/>
      <c r="R873" s="6"/>
      <c r="S873" s="26"/>
      <c r="T873" s="26"/>
      <c r="U873" s="27"/>
      <c r="V873" s="6"/>
      <c r="W873" s="6"/>
      <c r="X873" s="6"/>
      <c r="Y873" s="6"/>
      <c r="Z873" s="6"/>
      <c r="AA873" s="6"/>
      <c r="AB873" s="6"/>
      <c r="AC873" s="6"/>
      <c r="AD873" s="6"/>
    </row>
    <row r="874">
      <c r="A874" s="6"/>
      <c r="B874" s="6"/>
      <c r="C874" s="6"/>
      <c r="D874" s="6"/>
      <c r="E874" s="6"/>
      <c r="F874" s="6"/>
      <c r="G874" s="6"/>
      <c r="H874" s="25"/>
      <c r="I874" s="25"/>
      <c r="J874" s="6"/>
      <c r="K874" s="6"/>
      <c r="L874" s="6"/>
      <c r="M874" s="6"/>
      <c r="N874" s="6"/>
      <c r="O874" s="6"/>
      <c r="P874" s="6"/>
      <c r="Q874" s="6"/>
      <c r="R874" s="6"/>
      <c r="S874" s="26"/>
      <c r="T874" s="26"/>
      <c r="U874" s="27"/>
      <c r="V874" s="6"/>
      <c r="W874" s="6"/>
      <c r="X874" s="6"/>
      <c r="Y874" s="6"/>
      <c r="Z874" s="6"/>
      <c r="AA874" s="6"/>
      <c r="AB874" s="6"/>
      <c r="AC874" s="6"/>
      <c r="AD874" s="6"/>
    </row>
    <row r="875">
      <c r="A875" s="6"/>
      <c r="B875" s="6"/>
      <c r="C875" s="6"/>
      <c r="D875" s="6"/>
      <c r="E875" s="6"/>
      <c r="F875" s="6"/>
      <c r="G875" s="6"/>
      <c r="H875" s="25"/>
      <c r="I875" s="25"/>
      <c r="J875" s="6"/>
      <c r="K875" s="6"/>
      <c r="L875" s="6"/>
      <c r="M875" s="6"/>
      <c r="N875" s="6"/>
      <c r="O875" s="6"/>
      <c r="P875" s="6"/>
      <c r="Q875" s="6"/>
      <c r="R875" s="6"/>
      <c r="S875" s="26"/>
      <c r="T875" s="26"/>
      <c r="U875" s="27"/>
      <c r="V875" s="6"/>
      <c r="W875" s="6"/>
      <c r="X875" s="6"/>
      <c r="Y875" s="6"/>
      <c r="Z875" s="6"/>
      <c r="AA875" s="6"/>
      <c r="AB875" s="6"/>
      <c r="AC875" s="6"/>
      <c r="AD875" s="6"/>
    </row>
    <row r="876">
      <c r="A876" s="6"/>
      <c r="B876" s="6"/>
      <c r="C876" s="6"/>
      <c r="D876" s="6"/>
      <c r="E876" s="6"/>
      <c r="F876" s="6"/>
      <c r="G876" s="6"/>
      <c r="H876" s="25"/>
      <c r="I876" s="25"/>
      <c r="J876" s="6"/>
      <c r="K876" s="6"/>
      <c r="L876" s="6"/>
      <c r="M876" s="6"/>
      <c r="N876" s="6"/>
      <c r="O876" s="6"/>
      <c r="P876" s="6"/>
      <c r="Q876" s="6"/>
      <c r="R876" s="6"/>
      <c r="S876" s="26"/>
      <c r="T876" s="26"/>
      <c r="U876" s="27"/>
      <c r="V876" s="6"/>
      <c r="W876" s="6"/>
      <c r="X876" s="6"/>
      <c r="Y876" s="6"/>
      <c r="Z876" s="6"/>
      <c r="AA876" s="6"/>
      <c r="AB876" s="6"/>
      <c r="AC876" s="6"/>
      <c r="AD876" s="6"/>
    </row>
    <row r="877">
      <c r="A877" s="6"/>
      <c r="B877" s="6"/>
      <c r="C877" s="6"/>
      <c r="D877" s="6"/>
      <c r="E877" s="6"/>
      <c r="F877" s="6"/>
      <c r="G877" s="6"/>
      <c r="H877" s="25"/>
      <c r="I877" s="25"/>
      <c r="J877" s="6"/>
      <c r="K877" s="6"/>
      <c r="L877" s="6"/>
      <c r="M877" s="6"/>
      <c r="N877" s="6"/>
      <c r="O877" s="6"/>
      <c r="P877" s="6"/>
      <c r="Q877" s="6"/>
      <c r="R877" s="6"/>
      <c r="S877" s="26"/>
      <c r="T877" s="26"/>
      <c r="U877" s="27"/>
      <c r="V877" s="6"/>
      <c r="W877" s="6"/>
      <c r="X877" s="6"/>
      <c r="Y877" s="6"/>
      <c r="Z877" s="6"/>
      <c r="AA877" s="6"/>
      <c r="AB877" s="6"/>
      <c r="AC877" s="6"/>
      <c r="AD877" s="6"/>
    </row>
    <row r="878">
      <c r="A878" s="6"/>
      <c r="B878" s="6"/>
      <c r="C878" s="6"/>
      <c r="D878" s="6"/>
      <c r="E878" s="6"/>
      <c r="F878" s="6"/>
      <c r="G878" s="6"/>
      <c r="H878" s="25"/>
      <c r="I878" s="25"/>
      <c r="J878" s="6"/>
      <c r="K878" s="6"/>
      <c r="L878" s="6"/>
      <c r="M878" s="6"/>
      <c r="N878" s="6"/>
      <c r="O878" s="6"/>
      <c r="P878" s="6"/>
      <c r="Q878" s="6"/>
      <c r="R878" s="6"/>
      <c r="S878" s="26"/>
      <c r="T878" s="26"/>
      <c r="U878" s="27"/>
      <c r="V878" s="6"/>
      <c r="W878" s="6"/>
      <c r="X878" s="6"/>
      <c r="Y878" s="6"/>
      <c r="Z878" s="6"/>
      <c r="AA878" s="6"/>
      <c r="AB878" s="6"/>
      <c r="AC878" s="6"/>
      <c r="AD878" s="6"/>
    </row>
    <row r="879">
      <c r="A879" s="6"/>
      <c r="B879" s="6"/>
      <c r="C879" s="6"/>
      <c r="D879" s="6"/>
      <c r="E879" s="6"/>
      <c r="F879" s="6"/>
      <c r="G879" s="6"/>
      <c r="H879" s="25"/>
      <c r="I879" s="25"/>
      <c r="J879" s="6"/>
      <c r="K879" s="6"/>
      <c r="L879" s="6"/>
      <c r="M879" s="6"/>
      <c r="N879" s="6"/>
      <c r="O879" s="6"/>
      <c r="P879" s="6"/>
      <c r="Q879" s="6"/>
      <c r="R879" s="6"/>
      <c r="S879" s="26"/>
      <c r="T879" s="26"/>
      <c r="U879" s="27"/>
      <c r="V879" s="6"/>
      <c r="W879" s="6"/>
      <c r="X879" s="6"/>
      <c r="Y879" s="6"/>
      <c r="Z879" s="6"/>
      <c r="AA879" s="6"/>
      <c r="AB879" s="6"/>
      <c r="AC879" s="6"/>
      <c r="AD879" s="6"/>
    </row>
    <row r="880">
      <c r="A880" s="6"/>
      <c r="B880" s="6"/>
      <c r="C880" s="6"/>
      <c r="D880" s="6"/>
      <c r="E880" s="6"/>
      <c r="F880" s="6"/>
      <c r="G880" s="6"/>
      <c r="H880" s="25"/>
      <c r="I880" s="25"/>
      <c r="J880" s="6"/>
      <c r="K880" s="6"/>
      <c r="L880" s="6"/>
      <c r="M880" s="6"/>
      <c r="N880" s="6"/>
      <c r="O880" s="6"/>
      <c r="P880" s="6"/>
      <c r="Q880" s="6"/>
      <c r="R880" s="6"/>
      <c r="S880" s="26"/>
      <c r="T880" s="26"/>
      <c r="U880" s="27"/>
      <c r="V880" s="6"/>
      <c r="W880" s="6"/>
      <c r="X880" s="6"/>
      <c r="Y880" s="6"/>
      <c r="Z880" s="6"/>
      <c r="AA880" s="6"/>
      <c r="AB880" s="6"/>
      <c r="AC880" s="6"/>
      <c r="AD880" s="6"/>
    </row>
    <row r="881">
      <c r="A881" s="6"/>
      <c r="B881" s="6"/>
      <c r="C881" s="6"/>
      <c r="D881" s="6"/>
      <c r="E881" s="6"/>
      <c r="F881" s="6"/>
      <c r="G881" s="6"/>
      <c r="H881" s="25"/>
      <c r="I881" s="25"/>
      <c r="J881" s="6"/>
      <c r="K881" s="6"/>
      <c r="L881" s="6"/>
      <c r="M881" s="6"/>
      <c r="N881" s="6"/>
      <c r="O881" s="6"/>
      <c r="P881" s="6"/>
      <c r="Q881" s="6"/>
      <c r="R881" s="6"/>
      <c r="S881" s="26"/>
      <c r="T881" s="26"/>
      <c r="U881" s="27"/>
      <c r="V881" s="6"/>
      <c r="W881" s="6"/>
      <c r="X881" s="6"/>
      <c r="Y881" s="6"/>
      <c r="Z881" s="6"/>
      <c r="AA881" s="6"/>
      <c r="AB881" s="6"/>
      <c r="AC881" s="6"/>
      <c r="AD881" s="6"/>
    </row>
    <row r="882">
      <c r="A882" s="6"/>
      <c r="B882" s="6"/>
      <c r="C882" s="6"/>
      <c r="D882" s="6"/>
      <c r="E882" s="6"/>
      <c r="F882" s="6"/>
      <c r="G882" s="6"/>
      <c r="H882" s="25"/>
      <c r="I882" s="25"/>
      <c r="J882" s="6"/>
      <c r="K882" s="6"/>
      <c r="L882" s="6"/>
      <c r="M882" s="6"/>
      <c r="N882" s="6"/>
      <c r="O882" s="6"/>
      <c r="P882" s="6"/>
      <c r="Q882" s="6"/>
      <c r="R882" s="6"/>
      <c r="S882" s="26"/>
      <c r="T882" s="26"/>
      <c r="U882" s="27"/>
      <c r="V882" s="6"/>
      <c r="W882" s="6"/>
      <c r="X882" s="6"/>
      <c r="Y882" s="6"/>
      <c r="Z882" s="6"/>
      <c r="AA882" s="6"/>
      <c r="AB882" s="6"/>
      <c r="AC882" s="6"/>
      <c r="AD882" s="6"/>
    </row>
    <row r="883">
      <c r="A883" s="6"/>
      <c r="B883" s="6"/>
      <c r="C883" s="6"/>
      <c r="D883" s="6"/>
      <c r="E883" s="6"/>
      <c r="F883" s="6"/>
      <c r="G883" s="6"/>
      <c r="H883" s="25"/>
      <c r="I883" s="25"/>
      <c r="J883" s="6"/>
      <c r="K883" s="6"/>
      <c r="L883" s="6"/>
      <c r="M883" s="6"/>
      <c r="N883" s="6"/>
      <c r="O883" s="6"/>
      <c r="P883" s="6"/>
      <c r="Q883" s="6"/>
      <c r="R883" s="6"/>
      <c r="S883" s="26"/>
      <c r="T883" s="26"/>
      <c r="U883" s="27"/>
      <c r="V883" s="6"/>
      <c r="W883" s="6"/>
      <c r="X883" s="6"/>
      <c r="Y883" s="6"/>
      <c r="Z883" s="6"/>
      <c r="AA883" s="6"/>
      <c r="AB883" s="6"/>
      <c r="AC883" s="6"/>
      <c r="AD883" s="6"/>
    </row>
    <row r="884">
      <c r="A884" s="6"/>
      <c r="B884" s="6"/>
      <c r="C884" s="6"/>
      <c r="D884" s="6"/>
      <c r="E884" s="6"/>
      <c r="F884" s="6"/>
      <c r="G884" s="6"/>
      <c r="H884" s="25"/>
      <c r="I884" s="25"/>
      <c r="J884" s="6"/>
      <c r="K884" s="6"/>
      <c r="L884" s="6"/>
      <c r="M884" s="6"/>
      <c r="N884" s="6"/>
      <c r="O884" s="6"/>
      <c r="P884" s="6"/>
      <c r="Q884" s="6"/>
      <c r="R884" s="6"/>
      <c r="S884" s="26"/>
      <c r="T884" s="26"/>
      <c r="U884" s="27"/>
      <c r="V884" s="6"/>
      <c r="W884" s="6"/>
      <c r="X884" s="6"/>
      <c r="Y884" s="6"/>
      <c r="Z884" s="6"/>
      <c r="AA884" s="6"/>
      <c r="AB884" s="6"/>
      <c r="AC884" s="6"/>
      <c r="AD884" s="6"/>
    </row>
    <row r="885">
      <c r="A885" s="6"/>
      <c r="B885" s="6"/>
      <c r="C885" s="6"/>
      <c r="D885" s="6"/>
      <c r="E885" s="6"/>
      <c r="F885" s="6"/>
      <c r="G885" s="6"/>
      <c r="H885" s="25"/>
      <c r="I885" s="25"/>
      <c r="J885" s="6"/>
      <c r="K885" s="6"/>
      <c r="L885" s="6"/>
      <c r="M885" s="6"/>
      <c r="N885" s="6"/>
      <c r="O885" s="6"/>
      <c r="P885" s="6"/>
      <c r="Q885" s="6"/>
      <c r="R885" s="6"/>
      <c r="S885" s="26"/>
      <c r="T885" s="26"/>
      <c r="U885" s="27"/>
      <c r="V885" s="6"/>
      <c r="W885" s="6"/>
      <c r="X885" s="6"/>
      <c r="Y885" s="6"/>
      <c r="Z885" s="6"/>
      <c r="AA885" s="6"/>
      <c r="AB885" s="6"/>
      <c r="AC885" s="6"/>
      <c r="AD885" s="6"/>
    </row>
    <row r="886">
      <c r="A886" s="6"/>
      <c r="B886" s="6"/>
      <c r="C886" s="6"/>
      <c r="D886" s="6"/>
      <c r="E886" s="6"/>
      <c r="F886" s="6"/>
      <c r="G886" s="6"/>
      <c r="H886" s="25"/>
      <c r="I886" s="25"/>
      <c r="J886" s="6"/>
      <c r="K886" s="6"/>
      <c r="L886" s="6"/>
      <c r="M886" s="6"/>
      <c r="N886" s="6"/>
      <c r="O886" s="6"/>
      <c r="P886" s="6"/>
      <c r="Q886" s="6"/>
      <c r="R886" s="6"/>
      <c r="S886" s="26"/>
      <c r="T886" s="26"/>
      <c r="U886" s="27"/>
      <c r="V886" s="6"/>
      <c r="W886" s="6"/>
      <c r="X886" s="6"/>
      <c r="Y886" s="6"/>
      <c r="Z886" s="6"/>
      <c r="AA886" s="6"/>
      <c r="AB886" s="6"/>
      <c r="AC886" s="6"/>
      <c r="AD886" s="6"/>
    </row>
    <row r="887">
      <c r="A887" s="6"/>
      <c r="B887" s="6"/>
      <c r="C887" s="6"/>
      <c r="D887" s="6"/>
      <c r="E887" s="6"/>
      <c r="F887" s="6"/>
      <c r="G887" s="6"/>
      <c r="H887" s="25"/>
      <c r="I887" s="25"/>
      <c r="J887" s="6"/>
      <c r="K887" s="6"/>
      <c r="L887" s="6"/>
      <c r="M887" s="6"/>
      <c r="N887" s="6"/>
      <c r="O887" s="6"/>
      <c r="P887" s="6"/>
      <c r="Q887" s="6"/>
      <c r="R887" s="6"/>
      <c r="S887" s="26"/>
      <c r="T887" s="26"/>
      <c r="U887" s="27"/>
      <c r="V887" s="6"/>
      <c r="W887" s="6"/>
      <c r="X887" s="6"/>
      <c r="Y887" s="6"/>
      <c r="Z887" s="6"/>
      <c r="AA887" s="6"/>
      <c r="AB887" s="6"/>
      <c r="AC887" s="6"/>
      <c r="AD887" s="6"/>
    </row>
    <row r="888">
      <c r="A888" s="6"/>
      <c r="B888" s="6"/>
      <c r="C888" s="6"/>
      <c r="D888" s="6"/>
      <c r="E888" s="6"/>
      <c r="F888" s="6"/>
      <c r="G888" s="6"/>
      <c r="H888" s="25"/>
      <c r="I888" s="25"/>
      <c r="J888" s="6"/>
      <c r="K888" s="6"/>
      <c r="L888" s="6"/>
      <c r="M888" s="6"/>
      <c r="N888" s="6"/>
      <c r="O888" s="6"/>
      <c r="P888" s="6"/>
      <c r="Q888" s="6"/>
      <c r="R888" s="6"/>
      <c r="S888" s="26"/>
      <c r="T888" s="26"/>
      <c r="U888" s="27"/>
      <c r="V888" s="6"/>
      <c r="W888" s="6"/>
      <c r="X888" s="6"/>
      <c r="Y888" s="6"/>
      <c r="Z888" s="6"/>
      <c r="AA888" s="6"/>
      <c r="AB888" s="6"/>
      <c r="AC888" s="6"/>
      <c r="AD888" s="6"/>
    </row>
    <row r="889">
      <c r="A889" s="6"/>
      <c r="B889" s="6"/>
      <c r="C889" s="6"/>
      <c r="D889" s="6"/>
      <c r="E889" s="6"/>
      <c r="F889" s="6"/>
      <c r="G889" s="6"/>
      <c r="H889" s="25"/>
      <c r="I889" s="25"/>
      <c r="J889" s="6"/>
      <c r="K889" s="6"/>
      <c r="L889" s="6"/>
      <c r="M889" s="6"/>
      <c r="N889" s="6"/>
      <c r="O889" s="6"/>
      <c r="P889" s="6"/>
      <c r="Q889" s="6"/>
      <c r="R889" s="6"/>
      <c r="S889" s="26"/>
      <c r="T889" s="26"/>
      <c r="U889" s="27"/>
      <c r="V889" s="6"/>
      <c r="W889" s="6"/>
      <c r="X889" s="6"/>
      <c r="Y889" s="6"/>
      <c r="Z889" s="6"/>
      <c r="AA889" s="6"/>
      <c r="AB889" s="6"/>
      <c r="AC889" s="6"/>
      <c r="AD889" s="6"/>
    </row>
    <row r="890">
      <c r="A890" s="6"/>
      <c r="B890" s="6"/>
      <c r="C890" s="6"/>
      <c r="D890" s="6"/>
      <c r="E890" s="6"/>
      <c r="F890" s="6"/>
      <c r="G890" s="6"/>
      <c r="H890" s="25"/>
      <c r="I890" s="25"/>
      <c r="J890" s="6"/>
      <c r="K890" s="6"/>
      <c r="L890" s="6"/>
      <c r="M890" s="6"/>
      <c r="N890" s="6"/>
      <c r="O890" s="6"/>
      <c r="P890" s="6"/>
      <c r="Q890" s="6"/>
      <c r="R890" s="6"/>
      <c r="S890" s="26"/>
      <c r="T890" s="26"/>
      <c r="U890" s="27"/>
      <c r="V890" s="6"/>
      <c r="W890" s="6"/>
      <c r="X890" s="6"/>
      <c r="Y890" s="6"/>
      <c r="Z890" s="6"/>
      <c r="AA890" s="6"/>
      <c r="AB890" s="6"/>
      <c r="AC890" s="6"/>
      <c r="AD890" s="6"/>
    </row>
    <row r="891">
      <c r="A891" s="6"/>
      <c r="B891" s="6"/>
      <c r="C891" s="6"/>
      <c r="D891" s="6"/>
      <c r="E891" s="6"/>
      <c r="F891" s="6"/>
      <c r="G891" s="6"/>
      <c r="H891" s="25"/>
      <c r="I891" s="25"/>
      <c r="J891" s="6"/>
      <c r="K891" s="6"/>
      <c r="L891" s="6"/>
      <c r="M891" s="6"/>
      <c r="N891" s="6"/>
      <c r="O891" s="6"/>
      <c r="P891" s="6"/>
      <c r="Q891" s="6"/>
      <c r="R891" s="6"/>
      <c r="S891" s="26"/>
      <c r="T891" s="26"/>
      <c r="U891" s="27"/>
      <c r="V891" s="6"/>
      <c r="W891" s="6"/>
      <c r="X891" s="6"/>
      <c r="Y891" s="6"/>
      <c r="Z891" s="6"/>
      <c r="AA891" s="6"/>
      <c r="AB891" s="6"/>
      <c r="AC891" s="6"/>
      <c r="AD891" s="6"/>
    </row>
    <row r="892">
      <c r="A892" s="6"/>
      <c r="B892" s="6"/>
      <c r="C892" s="6"/>
      <c r="D892" s="6"/>
      <c r="E892" s="6"/>
      <c r="F892" s="6"/>
      <c r="G892" s="6"/>
      <c r="H892" s="25"/>
      <c r="I892" s="25"/>
      <c r="J892" s="6"/>
      <c r="K892" s="6"/>
      <c r="L892" s="6"/>
      <c r="M892" s="6"/>
      <c r="N892" s="6"/>
      <c r="O892" s="6"/>
      <c r="P892" s="6"/>
      <c r="Q892" s="6"/>
      <c r="R892" s="6"/>
      <c r="S892" s="26"/>
      <c r="T892" s="26"/>
      <c r="U892" s="27"/>
      <c r="V892" s="6"/>
      <c r="W892" s="6"/>
      <c r="X892" s="6"/>
      <c r="Y892" s="6"/>
      <c r="Z892" s="6"/>
      <c r="AA892" s="6"/>
      <c r="AB892" s="6"/>
      <c r="AC892" s="6"/>
      <c r="AD892" s="6"/>
    </row>
    <row r="893">
      <c r="A893" s="6"/>
      <c r="B893" s="6"/>
      <c r="C893" s="6"/>
      <c r="D893" s="6"/>
      <c r="E893" s="6"/>
      <c r="F893" s="6"/>
      <c r="G893" s="6"/>
      <c r="H893" s="25"/>
      <c r="I893" s="25"/>
      <c r="J893" s="6"/>
      <c r="K893" s="6"/>
      <c r="L893" s="6"/>
      <c r="M893" s="6"/>
      <c r="N893" s="6"/>
      <c r="O893" s="6"/>
      <c r="P893" s="6"/>
      <c r="Q893" s="6"/>
      <c r="R893" s="6"/>
      <c r="S893" s="26"/>
      <c r="T893" s="26"/>
      <c r="U893" s="27"/>
      <c r="V893" s="6"/>
      <c r="W893" s="6"/>
      <c r="X893" s="6"/>
      <c r="Y893" s="6"/>
      <c r="Z893" s="6"/>
      <c r="AA893" s="6"/>
      <c r="AB893" s="6"/>
      <c r="AC893" s="6"/>
      <c r="AD893" s="6"/>
    </row>
    <row r="894">
      <c r="A894" s="6"/>
      <c r="B894" s="6"/>
      <c r="C894" s="6"/>
      <c r="D894" s="6"/>
      <c r="E894" s="6"/>
      <c r="F894" s="6"/>
      <c r="G894" s="6"/>
      <c r="H894" s="25"/>
      <c r="I894" s="25"/>
      <c r="J894" s="6"/>
      <c r="K894" s="6"/>
      <c r="L894" s="6"/>
      <c r="M894" s="6"/>
      <c r="N894" s="6"/>
      <c r="O894" s="6"/>
      <c r="P894" s="6"/>
      <c r="Q894" s="6"/>
      <c r="R894" s="6"/>
      <c r="S894" s="26"/>
      <c r="T894" s="26"/>
      <c r="U894" s="27"/>
      <c r="V894" s="6"/>
      <c r="W894" s="6"/>
      <c r="X894" s="6"/>
      <c r="Y894" s="6"/>
      <c r="Z894" s="6"/>
      <c r="AA894" s="6"/>
      <c r="AB894" s="6"/>
      <c r="AC894" s="6"/>
      <c r="AD894" s="6"/>
    </row>
    <row r="895">
      <c r="A895" s="6"/>
      <c r="B895" s="6"/>
      <c r="C895" s="6"/>
      <c r="D895" s="6"/>
      <c r="E895" s="6"/>
      <c r="F895" s="6"/>
      <c r="G895" s="6"/>
      <c r="H895" s="25"/>
      <c r="I895" s="25"/>
      <c r="J895" s="6"/>
      <c r="K895" s="6"/>
      <c r="L895" s="6"/>
      <c r="M895" s="6"/>
      <c r="N895" s="6"/>
      <c r="O895" s="6"/>
      <c r="P895" s="6"/>
      <c r="Q895" s="6"/>
      <c r="R895" s="6"/>
      <c r="S895" s="26"/>
      <c r="T895" s="26"/>
      <c r="U895" s="27"/>
      <c r="V895" s="6"/>
      <c r="W895" s="6"/>
      <c r="X895" s="6"/>
      <c r="Y895" s="6"/>
      <c r="Z895" s="6"/>
      <c r="AA895" s="6"/>
      <c r="AB895" s="6"/>
      <c r="AC895" s="6"/>
      <c r="AD895" s="6"/>
    </row>
    <row r="896">
      <c r="A896" s="6"/>
      <c r="B896" s="6"/>
      <c r="C896" s="6"/>
      <c r="D896" s="6"/>
      <c r="E896" s="6"/>
      <c r="F896" s="6"/>
      <c r="G896" s="6"/>
      <c r="H896" s="25"/>
      <c r="I896" s="25"/>
      <c r="J896" s="6"/>
      <c r="K896" s="6"/>
      <c r="L896" s="6"/>
      <c r="M896" s="6"/>
      <c r="N896" s="6"/>
      <c r="O896" s="6"/>
      <c r="P896" s="6"/>
      <c r="Q896" s="6"/>
      <c r="R896" s="6"/>
      <c r="S896" s="26"/>
      <c r="T896" s="26"/>
      <c r="U896" s="27"/>
      <c r="V896" s="6"/>
      <c r="W896" s="6"/>
      <c r="X896" s="6"/>
      <c r="Y896" s="6"/>
      <c r="Z896" s="6"/>
      <c r="AA896" s="6"/>
      <c r="AB896" s="6"/>
      <c r="AC896" s="6"/>
      <c r="AD896" s="6"/>
    </row>
    <row r="897">
      <c r="A897" s="6"/>
      <c r="B897" s="6"/>
      <c r="C897" s="6"/>
      <c r="D897" s="6"/>
      <c r="E897" s="6"/>
      <c r="F897" s="6"/>
      <c r="G897" s="6"/>
      <c r="H897" s="25"/>
      <c r="I897" s="25"/>
      <c r="J897" s="6"/>
      <c r="K897" s="6"/>
      <c r="L897" s="6"/>
      <c r="M897" s="6"/>
      <c r="N897" s="6"/>
      <c r="O897" s="6"/>
      <c r="P897" s="6"/>
      <c r="Q897" s="6"/>
      <c r="R897" s="6"/>
      <c r="S897" s="26"/>
      <c r="T897" s="26"/>
      <c r="U897" s="27"/>
      <c r="V897" s="6"/>
      <c r="W897" s="6"/>
      <c r="X897" s="6"/>
      <c r="Y897" s="6"/>
      <c r="Z897" s="6"/>
      <c r="AA897" s="6"/>
      <c r="AB897" s="6"/>
      <c r="AC897" s="6"/>
      <c r="AD897" s="6"/>
    </row>
    <row r="898">
      <c r="A898" s="6"/>
      <c r="B898" s="6"/>
      <c r="C898" s="6"/>
      <c r="D898" s="6"/>
      <c r="E898" s="6"/>
      <c r="F898" s="6"/>
      <c r="G898" s="6"/>
      <c r="H898" s="25"/>
      <c r="I898" s="25"/>
      <c r="J898" s="6"/>
      <c r="K898" s="6"/>
      <c r="L898" s="6"/>
      <c r="M898" s="6"/>
      <c r="N898" s="6"/>
      <c r="O898" s="6"/>
      <c r="P898" s="6"/>
      <c r="Q898" s="6"/>
      <c r="R898" s="6"/>
      <c r="S898" s="26"/>
      <c r="T898" s="26"/>
      <c r="U898" s="27"/>
      <c r="V898" s="6"/>
      <c r="W898" s="6"/>
      <c r="X898" s="6"/>
      <c r="Y898" s="6"/>
      <c r="Z898" s="6"/>
      <c r="AA898" s="6"/>
      <c r="AB898" s="6"/>
      <c r="AC898" s="6"/>
      <c r="AD898" s="6"/>
    </row>
    <row r="899">
      <c r="A899" s="6"/>
      <c r="B899" s="6"/>
      <c r="C899" s="6"/>
      <c r="D899" s="6"/>
      <c r="E899" s="6"/>
      <c r="F899" s="6"/>
      <c r="G899" s="6"/>
      <c r="H899" s="25"/>
      <c r="I899" s="25"/>
      <c r="J899" s="6"/>
      <c r="K899" s="6"/>
      <c r="L899" s="6"/>
      <c r="M899" s="6"/>
      <c r="N899" s="6"/>
      <c r="O899" s="6"/>
      <c r="P899" s="6"/>
      <c r="Q899" s="6"/>
      <c r="R899" s="6"/>
      <c r="S899" s="26"/>
      <c r="T899" s="26"/>
      <c r="U899" s="27"/>
      <c r="V899" s="6"/>
      <c r="W899" s="6"/>
      <c r="X899" s="6"/>
      <c r="Y899" s="6"/>
      <c r="Z899" s="6"/>
      <c r="AA899" s="6"/>
      <c r="AB899" s="6"/>
      <c r="AC899" s="6"/>
      <c r="AD899" s="6"/>
    </row>
    <row r="900">
      <c r="A900" s="6"/>
      <c r="B900" s="6"/>
      <c r="C900" s="6"/>
      <c r="D900" s="6"/>
      <c r="E900" s="6"/>
      <c r="F900" s="6"/>
      <c r="G900" s="6"/>
      <c r="H900" s="25"/>
      <c r="I900" s="25"/>
      <c r="J900" s="6"/>
      <c r="K900" s="6"/>
      <c r="L900" s="6"/>
      <c r="M900" s="6"/>
      <c r="N900" s="6"/>
      <c r="O900" s="6"/>
      <c r="P900" s="6"/>
      <c r="Q900" s="6"/>
      <c r="R900" s="6"/>
      <c r="S900" s="26"/>
      <c r="T900" s="26"/>
      <c r="U900" s="27"/>
      <c r="V900" s="6"/>
      <c r="W900" s="6"/>
      <c r="X900" s="6"/>
      <c r="Y900" s="6"/>
      <c r="Z900" s="6"/>
      <c r="AA900" s="6"/>
      <c r="AB900" s="6"/>
      <c r="AC900" s="6"/>
      <c r="AD900" s="6"/>
    </row>
    <row r="901">
      <c r="A901" s="6"/>
      <c r="B901" s="6"/>
      <c r="C901" s="6"/>
      <c r="D901" s="6"/>
      <c r="E901" s="6"/>
      <c r="F901" s="6"/>
      <c r="G901" s="6"/>
      <c r="H901" s="25"/>
      <c r="I901" s="25"/>
      <c r="J901" s="6"/>
      <c r="K901" s="6"/>
      <c r="L901" s="6"/>
      <c r="M901" s="6"/>
      <c r="N901" s="6"/>
      <c r="O901" s="6"/>
      <c r="P901" s="6"/>
      <c r="Q901" s="6"/>
      <c r="R901" s="6"/>
      <c r="S901" s="26"/>
      <c r="T901" s="26"/>
      <c r="U901" s="27"/>
      <c r="V901" s="6"/>
      <c r="W901" s="6"/>
      <c r="X901" s="6"/>
      <c r="Y901" s="6"/>
      <c r="Z901" s="6"/>
      <c r="AA901" s="6"/>
      <c r="AB901" s="6"/>
      <c r="AC901" s="6"/>
      <c r="AD901" s="6"/>
    </row>
    <row r="902">
      <c r="A902" s="6"/>
      <c r="B902" s="6"/>
      <c r="C902" s="6"/>
      <c r="D902" s="6"/>
      <c r="E902" s="6"/>
      <c r="F902" s="6"/>
      <c r="G902" s="6"/>
      <c r="H902" s="25"/>
      <c r="I902" s="25"/>
      <c r="J902" s="6"/>
      <c r="K902" s="6"/>
      <c r="L902" s="6"/>
      <c r="M902" s="6"/>
      <c r="N902" s="6"/>
      <c r="O902" s="6"/>
      <c r="P902" s="6"/>
      <c r="Q902" s="6"/>
      <c r="R902" s="6"/>
      <c r="S902" s="26"/>
      <c r="T902" s="26"/>
      <c r="U902" s="27"/>
      <c r="V902" s="6"/>
      <c r="W902" s="6"/>
      <c r="X902" s="6"/>
      <c r="Y902" s="6"/>
      <c r="Z902" s="6"/>
      <c r="AA902" s="6"/>
      <c r="AB902" s="6"/>
      <c r="AC902" s="6"/>
      <c r="AD902" s="6"/>
    </row>
    <row r="903">
      <c r="A903" s="6"/>
      <c r="B903" s="6"/>
      <c r="C903" s="6"/>
      <c r="D903" s="6"/>
      <c r="E903" s="6"/>
      <c r="F903" s="6"/>
      <c r="G903" s="6"/>
      <c r="H903" s="25"/>
      <c r="I903" s="25"/>
      <c r="J903" s="6"/>
      <c r="K903" s="6"/>
      <c r="L903" s="6"/>
      <c r="M903" s="6"/>
      <c r="N903" s="6"/>
      <c r="O903" s="6"/>
      <c r="P903" s="6"/>
      <c r="Q903" s="6"/>
      <c r="R903" s="6"/>
      <c r="S903" s="26"/>
      <c r="T903" s="26"/>
      <c r="U903" s="27"/>
      <c r="V903" s="6"/>
      <c r="W903" s="6"/>
      <c r="X903" s="6"/>
      <c r="Y903" s="6"/>
      <c r="Z903" s="6"/>
      <c r="AA903" s="6"/>
      <c r="AB903" s="6"/>
      <c r="AC903" s="6"/>
      <c r="AD903" s="6"/>
    </row>
    <row r="904">
      <c r="A904" s="6"/>
      <c r="B904" s="6"/>
      <c r="C904" s="6"/>
      <c r="D904" s="6"/>
      <c r="E904" s="6"/>
      <c r="F904" s="6"/>
      <c r="G904" s="6"/>
      <c r="H904" s="25"/>
      <c r="I904" s="25"/>
      <c r="J904" s="6"/>
      <c r="K904" s="6"/>
      <c r="L904" s="6"/>
      <c r="M904" s="6"/>
      <c r="N904" s="6"/>
      <c r="O904" s="6"/>
      <c r="P904" s="6"/>
      <c r="Q904" s="6"/>
      <c r="R904" s="6"/>
      <c r="S904" s="26"/>
      <c r="T904" s="26"/>
      <c r="U904" s="27"/>
      <c r="V904" s="6"/>
      <c r="W904" s="6"/>
      <c r="X904" s="6"/>
      <c r="Y904" s="6"/>
      <c r="Z904" s="6"/>
      <c r="AA904" s="6"/>
      <c r="AB904" s="6"/>
      <c r="AC904" s="6"/>
      <c r="AD904" s="6"/>
    </row>
    <row r="905">
      <c r="A905" s="6"/>
      <c r="B905" s="6"/>
      <c r="C905" s="6"/>
      <c r="D905" s="6"/>
      <c r="E905" s="6"/>
      <c r="F905" s="6"/>
      <c r="G905" s="6"/>
      <c r="H905" s="25"/>
      <c r="I905" s="25"/>
      <c r="J905" s="6"/>
      <c r="K905" s="6"/>
      <c r="L905" s="6"/>
      <c r="M905" s="6"/>
      <c r="N905" s="6"/>
      <c r="O905" s="6"/>
      <c r="P905" s="6"/>
      <c r="Q905" s="6"/>
      <c r="R905" s="6"/>
      <c r="S905" s="26"/>
      <c r="T905" s="26"/>
      <c r="U905" s="27"/>
      <c r="V905" s="6"/>
      <c r="W905" s="6"/>
      <c r="X905" s="6"/>
      <c r="Y905" s="6"/>
      <c r="Z905" s="6"/>
      <c r="AA905" s="6"/>
      <c r="AB905" s="6"/>
      <c r="AC905" s="6"/>
      <c r="AD905" s="6"/>
    </row>
    <row r="906">
      <c r="A906" s="6"/>
      <c r="B906" s="6"/>
      <c r="C906" s="6"/>
      <c r="D906" s="6"/>
      <c r="E906" s="6"/>
      <c r="F906" s="6"/>
      <c r="G906" s="6"/>
      <c r="H906" s="25"/>
      <c r="I906" s="25"/>
      <c r="J906" s="6"/>
      <c r="K906" s="6"/>
      <c r="L906" s="6"/>
      <c r="M906" s="6"/>
      <c r="N906" s="6"/>
      <c r="O906" s="6"/>
      <c r="P906" s="6"/>
      <c r="Q906" s="6"/>
      <c r="R906" s="6"/>
      <c r="S906" s="26"/>
      <c r="T906" s="26"/>
      <c r="U906" s="27"/>
      <c r="V906" s="6"/>
      <c r="W906" s="6"/>
      <c r="X906" s="6"/>
      <c r="Y906" s="6"/>
      <c r="Z906" s="6"/>
      <c r="AA906" s="6"/>
      <c r="AB906" s="6"/>
      <c r="AC906" s="6"/>
      <c r="AD906" s="6"/>
    </row>
    <row r="907">
      <c r="A907" s="6"/>
      <c r="B907" s="6"/>
      <c r="C907" s="6"/>
      <c r="D907" s="6"/>
      <c r="E907" s="6"/>
      <c r="F907" s="6"/>
      <c r="G907" s="6"/>
      <c r="H907" s="25"/>
      <c r="I907" s="25"/>
      <c r="J907" s="6"/>
      <c r="K907" s="6"/>
      <c r="L907" s="6"/>
      <c r="M907" s="6"/>
      <c r="N907" s="6"/>
      <c r="O907" s="6"/>
      <c r="P907" s="6"/>
      <c r="Q907" s="6"/>
      <c r="R907" s="6"/>
      <c r="S907" s="26"/>
      <c r="T907" s="26"/>
      <c r="U907" s="27"/>
      <c r="V907" s="6"/>
      <c r="W907" s="6"/>
      <c r="X907" s="6"/>
      <c r="Y907" s="6"/>
      <c r="Z907" s="6"/>
      <c r="AA907" s="6"/>
      <c r="AB907" s="6"/>
      <c r="AC907" s="6"/>
      <c r="AD907" s="6"/>
    </row>
    <row r="908">
      <c r="A908" s="6"/>
      <c r="B908" s="6"/>
      <c r="C908" s="6"/>
      <c r="D908" s="6"/>
      <c r="E908" s="6"/>
      <c r="F908" s="6"/>
      <c r="G908" s="6"/>
      <c r="H908" s="25"/>
      <c r="I908" s="25"/>
      <c r="J908" s="6"/>
      <c r="K908" s="6"/>
      <c r="L908" s="6"/>
      <c r="M908" s="6"/>
      <c r="N908" s="6"/>
      <c r="O908" s="6"/>
      <c r="P908" s="6"/>
      <c r="Q908" s="6"/>
      <c r="R908" s="6"/>
      <c r="S908" s="26"/>
      <c r="T908" s="26"/>
      <c r="U908" s="27"/>
      <c r="V908" s="6"/>
      <c r="W908" s="6"/>
      <c r="X908" s="6"/>
      <c r="Y908" s="6"/>
      <c r="Z908" s="6"/>
      <c r="AA908" s="6"/>
      <c r="AB908" s="6"/>
      <c r="AC908" s="6"/>
      <c r="AD908" s="6"/>
    </row>
    <row r="909">
      <c r="A909" s="6"/>
      <c r="B909" s="6"/>
      <c r="C909" s="6"/>
      <c r="D909" s="6"/>
      <c r="E909" s="6"/>
      <c r="F909" s="6"/>
      <c r="G909" s="6"/>
      <c r="H909" s="25"/>
      <c r="I909" s="25"/>
      <c r="J909" s="6"/>
      <c r="K909" s="6"/>
      <c r="L909" s="6"/>
      <c r="M909" s="6"/>
      <c r="N909" s="6"/>
      <c r="O909" s="6"/>
      <c r="P909" s="6"/>
      <c r="Q909" s="6"/>
      <c r="R909" s="6"/>
      <c r="S909" s="26"/>
      <c r="T909" s="26"/>
      <c r="U909" s="27"/>
      <c r="V909" s="6"/>
      <c r="W909" s="6"/>
      <c r="X909" s="6"/>
      <c r="Y909" s="6"/>
      <c r="Z909" s="6"/>
      <c r="AA909" s="6"/>
      <c r="AB909" s="6"/>
      <c r="AC909" s="6"/>
      <c r="AD909" s="6"/>
    </row>
    <row r="910">
      <c r="A910" s="6"/>
      <c r="B910" s="6"/>
      <c r="C910" s="6"/>
      <c r="D910" s="6"/>
      <c r="E910" s="6"/>
      <c r="F910" s="6"/>
      <c r="G910" s="6"/>
      <c r="H910" s="25"/>
      <c r="I910" s="25"/>
      <c r="J910" s="6"/>
      <c r="K910" s="6"/>
      <c r="L910" s="6"/>
      <c r="M910" s="6"/>
      <c r="N910" s="6"/>
      <c r="O910" s="6"/>
      <c r="P910" s="6"/>
      <c r="Q910" s="6"/>
      <c r="R910" s="6"/>
      <c r="S910" s="26"/>
      <c r="T910" s="26"/>
      <c r="U910" s="27"/>
      <c r="V910" s="6"/>
      <c r="W910" s="6"/>
      <c r="X910" s="6"/>
      <c r="Y910" s="6"/>
      <c r="Z910" s="6"/>
      <c r="AA910" s="6"/>
      <c r="AB910" s="6"/>
      <c r="AC910" s="6"/>
      <c r="AD910" s="6"/>
    </row>
    <row r="911">
      <c r="A911" s="6"/>
      <c r="B911" s="6"/>
      <c r="C911" s="6"/>
      <c r="D911" s="6"/>
      <c r="E911" s="6"/>
      <c r="F911" s="6"/>
      <c r="G911" s="6"/>
      <c r="H911" s="25"/>
      <c r="I911" s="25"/>
      <c r="J911" s="6"/>
      <c r="K911" s="6"/>
      <c r="L911" s="6"/>
      <c r="M911" s="6"/>
      <c r="N911" s="6"/>
      <c r="O911" s="6"/>
      <c r="P911" s="6"/>
      <c r="Q911" s="6"/>
      <c r="R911" s="6"/>
      <c r="S911" s="26"/>
      <c r="T911" s="26"/>
      <c r="U911" s="27"/>
      <c r="V911" s="6"/>
      <c r="W911" s="6"/>
      <c r="X911" s="6"/>
      <c r="Y911" s="6"/>
      <c r="Z911" s="6"/>
      <c r="AA911" s="6"/>
      <c r="AB911" s="6"/>
      <c r="AC911" s="6"/>
      <c r="AD911" s="6"/>
    </row>
    <row r="912">
      <c r="A912" s="6"/>
      <c r="B912" s="6"/>
      <c r="C912" s="6"/>
      <c r="D912" s="6"/>
      <c r="E912" s="6"/>
      <c r="F912" s="6"/>
      <c r="G912" s="6"/>
      <c r="H912" s="25"/>
      <c r="I912" s="25"/>
      <c r="J912" s="6"/>
      <c r="K912" s="6"/>
      <c r="L912" s="6"/>
      <c r="M912" s="6"/>
      <c r="N912" s="6"/>
      <c r="O912" s="6"/>
      <c r="P912" s="6"/>
      <c r="Q912" s="6"/>
      <c r="R912" s="6"/>
      <c r="S912" s="26"/>
      <c r="T912" s="26"/>
      <c r="U912" s="27"/>
      <c r="V912" s="6"/>
      <c r="W912" s="6"/>
      <c r="X912" s="6"/>
      <c r="Y912" s="6"/>
      <c r="Z912" s="6"/>
      <c r="AA912" s="6"/>
      <c r="AB912" s="6"/>
      <c r="AC912" s="6"/>
      <c r="AD912" s="6"/>
    </row>
    <row r="913">
      <c r="A913" s="6"/>
      <c r="B913" s="6"/>
      <c r="C913" s="6"/>
      <c r="D913" s="6"/>
      <c r="E913" s="6"/>
      <c r="F913" s="6"/>
      <c r="G913" s="6"/>
      <c r="H913" s="25"/>
      <c r="I913" s="25"/>
      <c r="J913" s="6"/>
      <c r="K913" s="6"/>
      <c r="L913" s="6"/>
      <c r="M913" s="6"/>
      <c r="N913" s="6"/>
      <c r="O913" s="6"/>
      <c r="P913" s="6"/>
      <c r="Q913" s="6"/>
      <c r="R913" s="6"/>
      <c r="S913" s="26"/>
      <c r="T913" s="26"/>
      <c r="U913" s="27"/>
      <c r="V913" s="6"/>
      <c r="W913" s="6"/>
      <c r="X913" s="6"/>
      <c r="Y913" s="6"/>
      <c r="Z913" s="6"/>
      <c r="AA913" s="6"/>
      <c r="AB913" s="6"/>
      <c r="AC913" s="6"/>
      <c r="AD913" s="6"/>
    </row>
    <row r="914">
      <c r="A914" s="6"/>
      <c r="B914" s="6"/>
      <c r="C914" s="6"/>
      <c r="D914" s="6"/>
      <c r="E914" s="6"/>
      <c r="F914" s="6"/>
      <c r="G914" s="6"/>
      <c r="H914" s="25"/>
      <c r="I914" s="25"/>
      <c r="J914" s="6"/>
      <c r="K914" s="6"/>
      <c r="L914" s="6"/>
      <c r="M914" s="6"/>
      <c r="N914" s="6"/>
      <c r="O914" s="6"/>
      <c r="P914" s="6"/>
      <c r="Q914" s="6"/>
      <c r="R914" s="6"/>
      <c r="S914" s="26"/>
      <c r="T914" s="26"/>
      <c r="U914" s="27"/>
      <c r="V914" s="6"/>
      <c r="W914" s="6"/>
      <c r="X914" s="6"/>
      <c r="Y914" s="6"/>
      <c r="Z914" s="6"/>
      <c r="AA914" s="6"/>
      <c r="AB914" s="6"/>
      <c r="AC914" s="6"/>
      <c r="AD914" s="6"/>
    </row>
    <row r="915">
      <c r="A915" s="6"/>
      <c r="B915" s="6"/>
      <c r="C915" s="6"/>
      <c r="D915" s="6"/>
      <c r="E915" s="6"/>
      <c r="F915" s="6"/>
      <c r="G915" s="6"/>
      <c r="H915" s="25"/>
      <c r="I915" s="25"/>
      <c r="J915" s="6"/>
      <c r="K915" s="6"/>
      <c r="L915" s="6"/>
      <c r="M915" s="6"/>
      <c r="N915" s="6"/>
      <c r="O915" s="6"/>
      <c r="P915" s="6"/>
      <c r="Q915" s="6"/>
      <c r="R915" s="6"/>
      <c r="S915" s="26"/>
      <c r="T915" s="26"/>
      <c r="U915" s="27"/>
      <c r="V915" s="6"/>
      <c r="W915" s="6"/>
      <c r="X915" s="6"/>
      <c r="Y915" s="6"/>
      <c r="Z915" s="6"/>
      <c r="AA915" s="6"/>
      <c r="AB915" s="6"/>
      <c r="AC915" s="6"/>
      <c r="AD915" s="6"/>
    </row>
    <row r="916">
      <c r="A916" s="6"/>
      <c r="B916" s="6"/>
      <c r="C916" s="6"/>
      <c r="D916" s="6"/>
      <c r="E916" s="6"/>
      <c r="F916" s="6"/>
      <c r="G916" s="6"/>
      <c r="H916" s="25"/>
      <c r="I916" s="25"/>
      <c r="J916" s="6"/>
      <c r="K916" s="6"/>
      <c r="L916" s="6"/>
      <c r="M916" s="6"/>
      <c r="N916" s="6"/>
      <c r="O916" s="6"/>
      <c r="P916" s="6"/>
      <c r="Q916" s="6"/>
      <c r="R916" s="6"/>
      <c r="S916" s="26"/>
      <c r="T916" s="26"/>
      <c r="U916" s="27"/>
      <c r="V916" s="6"/>
      <c r="W916" s="6"/>
      <c r="X916" s="6"/>
      <c r="Y916" s="6"/>
      <c r="Z916" s="6"/>
      <c r="AA916" s="6"/>
      <c r="AB916" s="6"/>
      <c r="AC916" s="6"/>
      <c r="AD916" s="6"/>
    </row>
    <row r="917">
      <c r="A917" s="6"/>
      <c r="B917" s="6"/>
      <c r="C917" s="6"/>
      <c r="D917" s="6"/>
      <c r="E917" s="6"/>
      <c r="F917" s="6"/>
      <c r="G917" s="6"/>
      <c r="H917" s="25"/>
      <c r="I917" s="25"/>
      <c r="J917" s="6"/>
      <c r="K917" s="6"/>
      <c r="L917" s="6"/>
      <c r="M917" s="6"/>
      <c r="N917" s="6"/>
      <c r="O917" s="6"/>
      <c r="P917" s="6"/>
      <c r="Q917" s="6"/>
      <c r="R917" s="6"/>
      <c r="S917" s="26"/>
      <c r="T917" s="26"/>
      <c r="U917" s="27"/>
      <c r="V917" s="6"/>
      <c r="W917" s="6"/>
      <c r="X917" s="6"/>
      <c r="Y917" s="6"/>
      <c r="Z917" s="6"/>
      <c r="AA917" s="6"/>
      <c r="AB917" s="6"/>
      <c r="AC917" s="6"/>
      <c r="AD917" s="6"/>
    </row>
    <row r="918">
      <c r="A918" s="6"/>
      <c r="B918" s="6"/>
      <c r="C918" s="6"/>
      <c r="D918" s="6"/>
      <c r="E918" s="6"/>
      <c r="F918" s="6"/>
      <c r="G918" s="6"/>
      <c r="H918" s="25"/>
      <c r="I918" s="25"/>
      <c r="J918" s="6"/>
      <c r="K918" s="6"/>
      <c r="L918" s="6"/>
      <c r="M918" s="6"/>
      <c r="N918" s="6"/>
      <c r="O918" s="6"/>
      <c r="P918" s="6"/>
      <c r="Q918" s="6"/>
      <c r="R918" s="6"/>
      <c r="S918" s="26"/>
      <c r="T918" s="26"/>
      <c r="U918" s="27"/>
      <c r="V918" s="6"/>
      <c r="W918" s="6"/>
      <c r="X918" s="6"/>
      <c r="Y918" s="6"/>
      <c r="Z918" s="6"/>
      <c r="AA918" s="6"/>
      <c r="AB918" s="6"/>
      <c r="AC918" s="6"/>
      <c r="AD918" s="6"/>
    </row>
    <row r="919">
      <c r="A919" s="6"/>
      <c r="B919" s="6"/>
      <c r="C919" s="6"/>
      <c r="D919" s="6"/>
      <c r="E919" s="6"/>
      <c r="F919" s="6"/>
      <c r="G919" s="6"/>
      <c r="H919" s="25"/>
      <c r="I919" s="25"/>
      <c r="J919" s="6"/>
      <c r="K919" s="6"/>
      <c r="L919" s="6"/>
      <c r="M919" s="6"/>
      <c r="N919" s="6"/>
      <c r="O919" s="6"/>
      <c r="P919" s="6"/>
      <c r="Q919" s="6"/>
      <c r="R919" s="6"/>
      <c r="S919" s="26"/>
      <c r="T919" s="26"/>
      <c r="U919" s="27"/>
      <c r="V919" s="6"/>
      <c r="W919" s="6"/>
      <c r="X919" s="6"/>
      <c r="Y919" s="6"/>
      <c r="Z919" s="6"/>
      <c r="AA919" s="6"/>
      <c r="AB919" s="6"/>
      <c r="AC919" s="6"/>
      <c r="AD919" s="6"/>
    </row>
    <row r="920">
      <c r="A920" s="6"/>
      <c r="B920" s="6"/>
      <c r="C920" s="6"/>
      <c r="D920" s="6"/>
      <c r="E920" s="6"/>
      <c r="F920" s="6"/>
      <c r="G920" s="6"/>
      <c r="H920" s="25"/>
      <c r="I920" s="25"/>
      <c r="J920" s="6"/>
      <c r="K920" s="6"/>
      <c r="L920" s="6"/>
      <c r="M920" s="6"/>
      <c r="N920" s="6"/>
      <c r="O920" s="6"/>
      <c r="P920" s="6"/>
      <c r="Q920" s="6"/>
      <c r="R920" s="6"/>
      <c r="S920" s="26"/>
      <c r="T920" s="26"/>
      <c r="U920" s="27"/>
      <c r="V920" s="6"/>
      <c r="W920" s="6"/>
      <c r="X920" s="6"/>
      <c r="Y920" s="6"/>
      <c r="Z920" s="6"/>
      <c r="AA920" s="6"/>
      <c r="AB920" s="6"/>
      <c r="AC920" s="6"/>
      <c r="AD920" s="6"/>
    </row>
    <row r="921">
      <c r="A921" s="6"/>
      <c r="B921" s="6"/>
      <c r="C921" s="6"/>
      <c r="D921" s="6"/>
      <c r="E921" s="6"/>
      <c r="F921" s="6"/>
      <c r="G921" s="6"/>
      <c r="H921" s="25"/>
      <c r="I921" s="25"/>
      <c r="J921" s="6"/>
      <c r="K921" s="6"/>
      <c r="L921" s="6"/>
      <c r="M921" s="6"/>
      <c r="N921" s="6"/>
      <c r="O921" s="6"/>
      <c r="P921" s="6"/>
      <c r="Q921" s="6"/>
      <c r="R921" s="6"/>
      <c r="S921" s="26"/>
      <c r="T921" s="26"/>
      <c r="U921" s="27"/>
      <c r="V921" s="6"/>
      <c r="W921" s="6"/>
      <c r="X921" s="6"/>
      <c r="Y921" s="6"/>
      <c r="Z921" s="6"/>
      <c r="AA921" s="6"/>
      <c r="AB921" s="6"/>
      <c r="AC921" s="6"/>
      <c r="AD921" s="6"/>
    </row>
    <row r="922">
      <c r="A922" s="6"/>
      <c r="B922" s="6"/>
      <c r="C922" s="6"/>
      <c r="D922" s="6"/>
      <c r="E922" s="6"/>
      <c r="F922" s="6"/>
      <c r="G922" s="6"/>
      <c r="H922" s="25"/>
      <c r="I922" s="25"/>
      <c r="J922" s="6"/>
      <c r="K922" s="6"/>
      <c r="L922" s="6"/>
      <c r="M922" s="6"/>
      <c r="N922" s="6"/>
      <c r="O922" s="6"/>
      <c r="P922" s="6"/>
      <c r="Q922" s="6"/>
      <c r="R922" s="6"/>
      <c r="S922" s="26"/>
      <c r="T922" s="26"/>
      <c r="U922" s="27"/>
      <c r="V922" s="6"/>
      <c r="W922" s="6"/>
      <c r="X922" s="6"/>
      <c r="Y922" s="6"/>
      <c r="Z922" s="6"/>
      <c r="AA922" s="6"/>
      <c r="AB922" s="6"/>
      <c r="AC922" s="6"/>
      <c r="AD922" s="6"/>
    </row>
    <row r="923">
      <c r="A923" s="6"/>
      <c r="B923" s="6"/>
      <c r="C923" s="6"/>
      <c r="D923" s="6"/>
      <c r="E923" s="6"/>
      <c r="F923" s="6"/>
      <c r="G923" s="6"/>
      <c r="H923" s="25"/>
      <c r="I923" s="25"/>
      <c r="J923" s="6"/>
      <c r="K923" s="6"/>
      <c r="L923" s="6"/>
      <c r="M923" s="6"/>
      <c r="N923" s="6"/>
      <c r="O923" s="6"/>
      <c r="P923" s="6"/>
      <c r="Q923" s="6"/>
      <c r="R923" s="6"/>
      <c r="S923" s="26"/>
      <c r="T923" s="26"/>
      <c r="U923" s="27"/>
      <c r="V923" s="6"/>
      <c r="W923" s="6"/>
      <c r="X923" s="6"/>
      <c r="Y923" s="6"/>
      <c r="Z923" s="6"/>
      <c r="AA923" s="6"/>
      <c r="AB923" s="6"/>
      <c r="AC923" s="6"/>
      <c r="AD923" s="6"/>
    </row>
    <row r="924">
      <c r="A924" s="6"/>
      <c r="B924" s="6"/>
      <c r="C924" s="6"/>
      <c r="D924" s="6"/>
      <c r="E924" s="6"/>
      <c r="F924" s="6"/>
      <c r="G924" s="6"/>
      <c r="H924" s="25"/>
      <c r="I924" s="25"/>
      <c r="J924" s="6"/>
      <c r="K924" s="6"/>
      <c r="L924" s="6"/>
      <c r="M924" s="6"/>
      <c r="N924" s="6"/>
      <c r="O924" s="6"/>
      <c r="P924" s="6"/>
      <c r="Q924" s="6"/>
      <c r="R924" s="6"/>
      <c r="S924" s="26"/>
      <c r="T924" s="26"/>
      <c r="U924" s="27"/>
      <c r="V924" s="6"/>
      <c r="W924" s="6"/>
      <c r="X924" s="6"/>
      <c r="Y924" s="6"/>
      <c r="Z924" s="6"/>
      <c r="AA924" s="6"/>
      <c r="AB924" s="6"/>
      <c r="AC924" s="6"/>
      <c r="AD924" s="6"/>
    </row>
    <row r="925">
      <c r="A925" s="6"/>
      <c r="B925" s="6"/>
      <c r="C925" s="6"/>
      <c r="D925" s="6"/>
      <c r="E925" s="6"/>
      <c r="F925" s="6"/>
      <c r="G925" s="6"/>
      <c r="H925" s="25"/>
      <c r="I925" s="25"/>
      <c r="J925" s="6"/>
      <c r="K925" s="6"/>
      <c r="L925" s="6"/>
      <c r="M925" s="6"/>
      <c r="N925" s="6"/>
      <c r="O925" s="6"/>
      <c r="P925" s="6"/>
      <c r="Q925" s="6"/>
      <c r="R925" s="6"/>
      <c r="S925" s="26"/>
      <c r="T925" s="26"/>
      <c r="U925" s="27"/>
      <c r="V925" s="6"/>
      <c r="W925" s="6"/>
      <c r="X925" s="6"/>
      <c r="Y925" s="6"/>
      <c r="Z925" s="6"/>
      <c r="AA925" s="6"/>
      <c r="AB925" s="6"/>
      <c r="AC925" s="6"/>
      <c r="AD925" s="6"/>
    </row>
    <row r="926">
      <c r="A926" s="6"/>
      <c r="B926" s="6"/>
      <c r="C926" s="6"/>
      <c r="D926" s="6"/>
      <c r="E926" s="6"/>
      <c r="F926" s="6"/>
      <c r="G926" s="6"/>
      <c r="H926" s="25"/>
      <c r="I926" s="25"/>
      <c r="J926" s="6"/>
      <c r="K926" s="6"/>
      <c r="L926" s="6"/>
      <c r="M926" s="6"/>
      <c r="N926" s="6"/>
      <c r="O926" s="6"/>
      <c r="P926" s="6"/>
      <c r="Q926" s="6"/>
      <c r="R926" s="6"/>
      <c r="S926" s="26"/>
      <c r="T926" s="26"/>
      <c r="U926" s="27"/>
      <c r="V926" s="6"/>
      <c r="W926" s="6"/>
      <c r="X926" s="6"/>
      <c r="Y926" s="6"/>
      <c r="Z926" s="6"/>
      <c r="AA926" s="6"/>
      <c r="AB926" s="6"/>
      <c r="AC926" s="6"/>
      <c r="AD926" s="6"/>
    </row>
    <row r="927">
      <c r="A927" s="6"/>
      <c r="B927" s="6"/>
      <c r="C927" s="6"/>
      <c r="D927" s="6"/>
      <c r="E927" s="6"/>
      <c r="F927" s="6"/>
      <c r="G927" s="6"/>
      <c r="H927" s="25"/>
      <c r="I927" s="25"/>
      <c r="J927" s="6"/>
      <c r="K927" s="6"/>
      <c r="L927" s="6"/>
      <c r="M927" s="6"/>
      <c r="N927" s="6"/>
      <c r="O927" s="6"/>
      <c r="P927" s="6"/>
      <c r="Q927" s="6"/>
      <c r="R927" s="6"/>
      <c r="S927" s="26"/>
      <c r="T927" s="26"/>
      <c r="U927" s="27"/>
      <c r="V927" s="6"/>
      <c r="W927" s="6"/>
      <c r="X927" s="6"/>
      <c r="Y927" s="6"/>
      <c r="Z927" s="6"/>
      <c r="AA927" s="6"/>
      <c r="AB927" s="6"/>
      <c r="AC927" s="6"/>
      <c r="AD927" s="6"/>
    </row>
    <row r="928">
      <c r="A928" s="6"/>
      <c r="B928" s="6"/>
      <c r="C928" s="6"/>
      <c r="D928" s="6"/>
      <c r="E928" s="6"/>
      <c r="F928" s="6"/>
      <c r="G928" s="6"/>
      <c r="H928" s="25"/>
      <c r="I928" s="25"/>
      <c r="J928" s="6"/>
      <c r="K928" s="6"/>
      <c r="L928" s="6"/>
      <c r="M928" s="6"/>
      <c r="N928" s="6"/>
      <c r="O928" s="6"/>
      <c r="P928" s="6"/>
      <c r="Q928" s="6"/>
      <c r="R928" s="6"/>
      <c r="S928" s="26"/>
      <c r="T928" s="26"/>
      <c r="U928" s="27"/>
      <c r="V928" s="6"/>
      <c r="W928" s="6"/>
      <c r="X928" s="6"/>
      <c r="Y928" s="6"/>
      <c r="Z928" s="6"/>
      <c r="AA928" s="6"/>
      <c r="AB928" s="6"/>
      <c r="AC928" s="6"/>
      <c r="AD928" s="6"/>
    </row>
    <row r="929">
      <c r="A929" s="6"/>
      <c r="B929" s="6"/>
      <c r="C929" s="6"/>
      <c r="D929" s="6"/>
      <c r="E929" s="6"/>
      <c r="F929" s="6"/>
      <c r="G929" s="6"/>
      <c r="H929" s="25"/>
      <c r="I929" s="25"/>
      <c r="J929" s="6"/>
      <c r="K929" s="6"/>
      <c r="L929" s="6"/>
      <c r="M929" s="6"/>
      <c r="N929" s="6"/>
      <c r="O929" s="6"/>
      <c r="P929" s="6"/>
      <c r="Q929" s="6"/>
      <c r="R929" s="6"/>
      <c r="S929" s="26"/>
      <c r="T929" s="26"/>
      <c r="U929" s="27"/>
      <c r="V929" s="6"/>
      <c r="W929" s="6"/>
      <c r="X929" s="6"/>
      <c r="Y929" s="6"/>
      <c r="Z929" s="6"/>
      <c r="AA929" s="6"/>
      <c r="AB929" s="6"/>
      <c r="AC929" s="6"/>
      <c r="AD929" s="6"/>
    </row>
    <row r="930">
      <c r="A930" s="6"/>
      <c r="B930" s="6"/>
      <c r="C930" s="6"/>
      <c r="D930" s="6"/>
      <c r="E930" s="6"/>
      <c r="F930" s="6"/>
      <c r="G930" s="6"/>
      <c r="H930" s="25"/>
      <c r="I930" s="25"/>
      <c r="J930" s="6"/>
      <c r="K930" s="6"/>
      <c r="L930" s="6"/>
      <c r="M930" s="6"/>
      <c r="N930" s="6"/>
      <c r="O930" s="6"/>
      <c r="P930" s="6"/>
      <c r="Q930" s="6"/>
      <c r="R930" s="6"/>
      <c r="S930" s="26"/>
      <c r="T930" s="26"/>
      <c r="U930" s="27"/>
      <c r="V930" s="6"/>
      <c r="W930" s="6"/>
      <c r="X930" s="6"/>
      <c r="Y930" s="6"/>
      <c r="Z930" s="6"/>
      <c r="AA930" s="6"/>
      <c r="AB930" s="6"/>
      <c r="AC930" s="6"/>
      <c r="AD930" s="6"/>
    </row>
    <row r="931">
      <c r="A931" s="6"/>
      <c r="B931" s="6"/>
      <c r="C931" s="6"/>
      <c r="D931" s="6"/>
      <c r="E931" s="6"/>
      <c r="F931" s="6"/>
      <c r="G931" s="6"/>
      <c r="H931" s="25"/>
      <c r="I931" s="25"/>
      <c r="J931" s="6"/>
      <c r="K931" s="6"/>
      <c r="L931" s="6"/>
      <c r="M931" s="6"/>
      <c r="N931" s="6"/>
      <c r="O931" s="6"/>
      <c r="P931" s="6"/>
      <c r="Q931" s="6"/>
      <c r="R931" s="6"/>
      <c r="S931" s="26"/>
      <c r="T931" s="26"/>
      <c r="U931" s="27"/>
      <c r="V931" s="6"/>
      <c r="W931" s="6"/>
      <c r="X931" s="6"/>
      <c r="Y931" s="6"/>
      <c r="Z931" s="6"/>
      <c r="AA931" s="6"/>
      <c r="AB931" s="6"/>
      <c r="AC931" s="6"/>
      <c r="AD931" s="6"/>
    </row>
    <row r="932">
      <c r="A932" s="6"/>
      <c r="B932" s="6"/>
      <c r="C932" s="6"/>
      <c r="D932" s="6"/>
      <c r="E932" s="6"/>
      <c r="F932" s="6"/>
      <c r="G932" s="6"/>
      <c r="H932" s="25"/>
      <c r="I932" s="25"/>
      <c r="J932" s="6"/>
      <c r="K932" s="6"/>
      <c r="L932" s="6"/>
      <c r="M932" s="6"/>
      <c r="N932" s="6"/>
      <c r="O932" s="6"/>
      <c r="P932" s="6"/>
      <c r="Q932" s="6"/>
      <c r="R932" s="6"/>
      <c r="S932" s="26"/>
      <c r="T932" s="26"/>
      <c r="U932" s="27"/>
      <c r="V932" s="6"/>
      <c r="W932" s="6"/>
      <c r="X932" s="6"/>
      <c r="Y932" s="6"/>
      <c r="Z932" s="6"/>
      <c r="AA932" s="6"/>
      <c r="AB932" s="6"/>
      <c r="AC932" s="6"/>
      <c r="AD932" s="6"/>
    </row>
    <row r="933">
      <c r="A933" s="6"/>
      <c r="B933" s="6"/>
      <c r="C933" s="6"/>
      <c r="D933" s="6"/>
      <c r="E933" s="6"/>
      <c r="F933" s="6"/>
      <c r="G933" s="6"/>
      <c r="H933" s="25"/>
      <c r="I933" s="25"/>
      <c r="J933" s="6"/>
      <c r="K933" s="6"/>
      <c r="L933" s="6"/>
      <c r="M933" s="6"/>
      <c r="N933" s="6"/>
      <c r="O933" s="6"/>
      <c r="P933" s="6"/>
      <c r="Q933" s="6"/>
      <c r="R933" s="6"/>
      <c r="S933" s="26"/>
      <c r="T933" s="26"/>
      <c r="U933" s="27"/>
      <c r="V933" s="6"/>
      <c r="W933" s="6"/>
      <c r="X933" s="6"/>
      <c r="Y933" s="6"/>
      <c r="Z933" s="6"/>
      <c r="AA933" s="6"/>
      <c r="AB933" s="6"/>
      <c r="AC933" s="6"/>
      <c r="AD933" s="6"/>
    </row>
    <row r="934">
      <c r="A934" s="6"/>
      <c r="B934" s="6"/>
      <c r="C934" s="6"/>
      <c r="D934" s="6"/>
      <c r="E934" s="6"/>
      <c r="F934" s="6"/>
      <c r="G934" s="6"/>
      <c r="H934" s="25"/>
      <c r="I934" s="25"/>
      <c r="J934" s="6"/>
      <c r="K934" s="6"/>
      <c r="L934" s="6"/>
      <c r="M934" s="6"/>
      <c r="N934" s="6"/>
      <c r="O934" s="6"/>
      <c r="P934" s="6"/>
      <c r="Q934" s="6"/>
      <c r="R934" s="6"/>
      <c r="S934" s="26"/>
      <c r="T934" s="26"/>
      <c r="U934" s="27"/>
      <c r="V934" s="6"/>
      <c r="W934" s="6"/>
      <c r="X934" s="6"/>
      <c r="Y934" s="6"/>
      <c r="Z934" s="6"/>
      <c r="AA934" s="6"/>
      <c r="AB934" s="6"/>
      <c r="AC934" s="6"/>
      <c r="AD934" s="6"/>
    </row>
    <row r="935">
      <c r="A935" s="6"/>
      <c r="B935" s="6"/>
      <c r="C935" s="6"/>
      <c r="D935" s="6"/>
      <c r="E935" s="6"/>
      <c r="F935" s="6"/>
      <c r="G935" s="6"/>
      <c r="H935" s="25"/>
      <c r="I935" s="25"/>
      <c r="J935" s="6"/>
      <c r="K935" s="6"/>
      <c r="L935" s="6"/>
      <c r="M935" s="6"/>
      <c r="N935" s="6"/>
      <c r="O935" s="6"/>
      <c r="P935" s="6"/>
      <c r="Q935" s="6"/>
      <c r="R935" s="6"/>
      <c r="S935" s="26"/>
      <c r="T935" s="26"/>
      <c r="U935" s="27"/>
      <c r="V935" s="6"/>
      <c r="W935" s="6"/>
      <c r="X935" s="6"/>
      <c r="Y935" s="6"/>
      <c r="Z935" s="6"/>
      <c r="AA935" s="6"/>
      <c r="AB935" s="6"/>
      <c r="AC935" s="6"/>
      <c r="AD935" s="6"/>
    </row>
    <row r="936">
      <c r="A936" s="6"/>
      <c r="B936" s="6"/>
      <c r="C936" s="6"/>
      <c r="D936" s="6"/>
      <c r="E936" s="6"/>
      <c r="F936" s="6"/>
      <c r="G936" s="6"/>
      <c r="H936" s="25"/>
      <c r="I936" s="25"/>
      <c r="J936" s="6"/>
      <c r="K936" s="6"/>
      <c r="L936" s="6"/>
      <c r="M936" s="6"/>
      <c r="N936" s="6"/>
      <c r="O936" s="6"/>
      <c r="P936" s="6"/>
      <c r="Q936" s="6"/>
      <c r="R936" s="6"/>
      <c r="S936" s="26"/>
      <c r="T936" s="26"/>
      <c r="U936" s="27"/>
      <c r="V936" s="6"/>
      <c r="W936" s="6"/>
      <c r="X936" s="6"/>
      <c r="Y936" s="6"/>
      <c r="Z936" s="6"/>
      <c r="AA936" s="6"/>
      <c r="AB936" s="6"/>
      <c r="AC936" s="6"/>
      <c r="AD936" s="6"/>
    </row>
    <row r="937">
      <c r="A937" s="6"/>
      <c r="B937" s="6"/>
      <c r="C937" s="6"/>
      <c r="D937" s="6"/>
      <c r="E937" s="6"/>
      <c r="F937" s="6"/>
      <c r="G937" s="6"/>
      <c r="H937" s="25"/>
      <c r="I937" s="25"/>
      <c r="J937" s="6"/>
      <c r="K937" s="6"/>
      <c r="L937" s="6"/>
      <c r="M937" s="6"/>
      <c r="N937" s="6"/>
      <c r="O937" s="6"/>
      <c r="P937" s="6"/>
      <c r="Q937" s="6"/>
      <c r="R937" s="6"/>
      <c r="S937" s="26"/>
      <c r="T937" s="26"/>
      <c r="U937" s="27"/>
      <c r="V937" s="6"/>
      <c r="W937" s="6"/>
      <c r="X937" s="6"/>
      <c r="Y937" s="6"/>
      <c r="Z937" s="6"/>
      <c r="AA937" s="6"/>
      <c r="AB937" s="6"/>
      <c r="AC937" s="6"/>
      <c r="AD937" s="6"/>
    </row>
    <row r="938">
      <c r="A938" s="6"/>
      <c r="B938" s="6"/>
      <c r="C938" s="6"/>
      <c r="D938" s="6"/>
      <c r="E938" s="6"/>
      <c r="F938" s="6"/>
      <c r="G938" s="6"/>
      <c r="H938" s="25"/>
      <c r="I938" s="25"/>
      <c r="J938" s="6"/>
      <c r="K938" s="6"/>
      <c r="L938" s="6"/>
      <c r="M938" s="6"/>
      <c r="N938" s="6"/>
      <c r="O938" s="6"/>
      <c r="P938" s="6"/>
      <c r="Q938" s="6"/>
      <c r="R938" s="6"/>
      <c r="S938" s="26"/>
      <c r="T938" s="26"/>
      <c r="U938" s="27"/>
      <c r="V938" s="6"/>
      <c r="W938" s="6"/>
      <c r="X938" s="6"/>
      <c r="Y938" s="6"/>
      <c r="Z938" s="6"/>
      <c r="AA938" s="6"/>
      <c r="AB938" s="6"/>
      <c r="AC938" s="6"/>
      <c r="AD938" s="6"/>
    </row>
    <row r="939">
      <c r="A939" s="6"/>
      <c r="B939" s="6"/>
      <c r="C939" s="6"/>
      <c r="D939" s="6"/>
      <c r="E939" s="6"/>
      <c r="F939" s="6"/>
      <c r="G939" s="6"/>
      <c r="H939" s="25"/>
      <c r="I939" s="25"/>
      <c r="J939" s="6"/>
      <c r="K939" s="6"/>
      <c r="L939" s="6"/>
      <c r="M939" s="6"/>
      <c r="N939" s="6"/>
      <c r="O939" s="6"/>
      <c r="P939" s="6"/>
      <c r="Q939" s="6"/>
      <c r="R939" s="6"/>
      <c r="S939" s="26"/>
      <c r="T939" s="26"/>
      <c r="U939" s="27"/>
      <c r="V939" s="6"/>
      <c r="W939" s="6"/>
      <c r="X939" s="6"/>
      <c r="Y939" s="6"/>
      <c r="Z939" s="6"/>
      <c r="AA939" s="6"/>
      <c r="AB939" s="6"/>
      <c r="AC939" s="6"/>
      <c r="AD939" s="6"/>
    </row>
    <row r="940">
      <c r="A940" s="6"/>
      <c r="B940" s="6"/>
      <c r="C940" s="6"/>
      <c r="D940" s="6"/>
      <c r="E940" s="6"/>
      <c r="F940" s="6"/>
      <c r="G940" s="6"/>
      <c r="H940" s="25"/>
      <c r="I940" s="25"/>
      <c r="J940" s="6"/>
      <c r="K940" s="6"/>
      <c r="L940" s="6"/>
      <c r="M940" s="6"/>
      <c r="N940" s="6"/>
      <c r="O940" s="6"/>
      <c r="P940" s="6"/>
      <c r="Q940" s="6"/>
      <c r="R940" s="6"/>
      <c r="S940" s="26"/>
      <c r="T940" s="26"/>
      <c r="U940" s="27"/>
      <c r="V940" s="6"/>
      <c r="W940" s="6"/>
      <c r="X940" s="6"/>
      <c r="Y940" s="6"/>
      <c r="Z940" s="6"/>
      <c r="AA940" s="6"/>
      <c r="AB940" s="6"/>
      <c r="AC940" s="6"/>
      <c r="AD940" s="6"/>
    </row>
    <row r="941">
      <c r="A941" s="6"/>
      <c r="B941" s="6"/>
      <c r="C941" s="6"/>
      <c r="D941" s="6"/>
      <c r="E941" s="6"/>
      <c r="F941" s="6"/>
      <c r="G941" s="6"/>
      <c r="H941" s="25"/>
      <c r="I941" s="25"/>
      <c r="J941" s="6"/>
      <c r="K941" s="6"/>
      <c r="L941" s="6"/>
      <c r="M941" s="6"/>
      <c r="N941" s="6"/>
      <c r="O941" s="6"/>
      <c r="P941" s="6"/>
      <c r="Q941" s="6"/>
      <c r="R941" s="6"/>
      <c r="S941" s="26"/>
      <c r="T941" s="26"/>
      <c r="U941" s="27"/>
      <c r="V941" s="6"/>
      <c r="W941" s="6"/>
      <c r="X941" s="6"/>
      <c r="Y941" s="6"/>
      <c r="Z941" s="6"/>
      <c r="AA941" s="6"/>
      <c r="AB941" s="6"/>
      <c r="AC941" s="6"/>
      <c r="AD941" s="6"/>
    </row>
    <row r="942">
      <c r="A942" s="6"/>
      <c r="B942" s="6"/>
      <c r="C942" s="6"/>
      <c r="D942" s="6"/>
      <c r="E942" s="6"/>
      <c r="F942" s="6"/>
      <c r="G942" s="6"/>
      <c r="H942" s="25"/>
      <c r="I942" s="25"/>
      <c r="J942" s="6"/>
      <c r="K942" s="6"/>
      <c r="L942" s="6"/>
      <c r="M942" s="6"/>
      <c r="N942" s="6"/>
      <c r="O942" s="6"/>
      <c r="P942" s="6"/>
      <c r="Q942" s="6"/>
      <c r="R942" s="6"/>
      <c r="S942" s="26"/>
      <c r="T942" s="26"/>
      <c r="U942" s="27"/>
      <c r="V942" s="6"/>
      <c r="W942" s="6"/>
      <c r="X942" s="6"/>
      <c r="Y942" s="6"/>
      <c r="Z942" s="6"/>
      <c r="AA942" s="6"/>
      <c r="AB942" s="6"/>
      <c r="AC942" s="6"/>
      <c r="AD942" s="6"/>
    </row>
    <row r="943">
      <c r="A943" s="6"/>
      <c r="B943" s="6"/>
      <c r="C943" s="6"/>
      <c r="D943" s="6"/>
      <c r="E943" s="6"/>
      <c r="F943" s="6"/>
      <c r="G943" s="6"/>
      <c r="H943" s="25"/>
      <c r="I943" s="25"/>
      <c r="J943" s="6"/>
      <c r="K943" s="6"/>
      <c r="L943" s="6"/>
      <c r="M943" s="6"/>
      <c r="N943" s="6"/>
      <c r="O943" s="6"/>
      <c r="P943" s="6"/>
      <c r="Q943" s="6"/>
      <c r="R943" s="6"/>
      <c r="S943" s="26"/>
      <c r="T943" s="26"/>
      <c r="U943" s="27"/>
      <c r="V943" s="6"/>
      <c r="W943" s="6"/>
      <c r="X943" s="6"/>
      <c r="Y943" s="6"/>
      <c r="Z943" s="6"/>
      <c r="AA943" s="6"/>
      <c r="AB943" s="6"/>
      <c r="AC943" s="6"/>
      <c r="AD943" s="6"/>
    </row>
    <row r="944">
      <c r="A944" s="6"/>
      <c r="B944" s="6"/>
      <c r="C944" s="6"/>
      <c r="D944" s="6"/>
      <c r="E944" s="6"/>
      <c r="F944" s="6"/>
      <c r="G944" s="6"/>
      <c r="H944" s="25"/>
      <c r="I944" s="25"/>
      <c r="J944" s="6"/>
      <c r="K944" s="6"/>
      <c r="L944" s="6"/>
      <c r="M944" s="6"/>
      <c r="N944" s="6"/>
      <c r="O944" s="6"/>
      <c r="P944" s="6"/>
      <c r="Q944" s="6"/>
      <c r="R944" s="6"/>
      <c r="S944" s="26"/>
      <c r="T944" s="26"/>
      <c r="U944" s="27"/>
      <c r="V944" s="6"/>
      <c r="W944" s="6"/>
      <c r="X944" s="6"/>
      <c r="Y944" s="6"/>
      <c r="Z944" s="6"/>
      <c r="AA944" s="6"/>
      <c r="AB944" s="6"/>
      <c r="AC944" s="6"/>
      <c r="AD944" s="6"/>
    </row>
    <row r="945">
      <c r="A945" s="6"/>
      <c r="B945" s="6"/>
      <c r="C945" s="6"/>
      <c r="D945" s="6"/>
      <c r="E945" s="6"/>
      <c r="F945" s="6"/>
      <c r="G945" s="6"/>
      <c r="H945" s="25"/>
      <c r="I945" s="25"/>
      <c r="J945" s="6"/>
      <c r="K945" s="6"/>
      <c r="L945" s="6"/>
      <c r="M945" s="6"/>
      <c r="N945" s="6"/>
      <c r="O945" s="6"/>
      <c r="P945" s="6"/>
      <c r="Q945" s="6"/>
      <c r="R945" s="6"/>
      <c r="S945" s="26"/>
      <c r="T945" s="26"/>
      <c r="U945" s="27"/>
      <c r="V945" s="6"/>
      <c r="W945" s="6"/>
      <c r="X945" s="6"/>
      <c r="Y945" s="6"/>
      <c r="Z945" s="6"/>
      <c r="AA945" s="6"/>
      <c r="AB945" s="6"/>
      <c r="AC945" s="6"/>
      <c r="AD945" s="6"/>
    </row>
    <row r="946">
      <c r="A946" s="6"/>
      <c r="B946" s="6"/>
      <c r="C946" s="6"/>
      <c r="D946" s="6"/>
      <c r="E946" s="6"/>
      <c r="F946" s="6"/>
      <c r="G946" s="6"/>
      <c r="H946" s="25"/>
      <c r="I946" s="25"/>
      <c r="J946" s="6"/>
      <c r="K946" s="6"/>
      <c r="L946" s="6"/>
      <c r="M946" s="6"/>
      <c r="N946" s="6"/>
      <c r="O946" s="6"/>
      <c r="P946" s="6"/>
      <c r="Q946" s="6"/>
      <c r="R946" s="6"/>
      <c r="S946" s="26"/>
      <c r="T946" s="26"/>
      <c r="U946" s="27"/>
      <c r="V946" s="6"/>
      <c r="W946" s="6"/>
      <c r="X946" s="6"/>
      <c r="Y946" s="6"/>
      <c r="Z946" s="6"/>
      <c r="AA946" s="6"/>
      <c r="AB946" s="6"/>
      <c r="AC946" s="6"/>
      <c r="AD946" s="6"/>
    </row>
    <row r="947">
      <c r="A947" s="6"/>
      <c r="B947" s="6"/>
      <c r="C947" s="6"/>
      <c r="D947" s="6"/>
      <c r="E947" s="6"/>
      <c r="F947" s="6"/>
      <c r="G947" s="6"/>
      <c r="H947" s="25"/>
      <c r="I947" s="25"/>
      <c r="J947" s="6"/>
      <c r="K947" s="6"/>
      <c r="L947" s="6"/>
      <c r="M947" s="6"/>
      <c r="N947" s="6"/>
      <c r="O947" s="6"/>
      <c r="P947" s="6"/>
      <c r="Q947" s="6"/>
      <c r="R947" s="6"/>
      <c r="S947" s="26"/>
      <c r="T947" s="26"/>
      <c r="U947" s="27"/>
      <c r="V947" s="6"/>
      <c r="W947" s="6"/>
      <c r="X947" s="6"/>
      <c r="Y947" s="6"/>
      <c r="Z947" s="6"/>
      <c r="AA947" s="6"/>
      <c r="AB947" s="6"/>
      <c r="AC947" s="6"/>
      <c r="AD947" s="6"/>
    </row>
    <row r="948">
      <c r="A948" s="6"/>
      <c r="B948" s="6"/>
      <c r="C948" s="6"/>
      <c r="D948" s="6"/>
      <c r="E948" s="6"/>
      <c r="F948" s="6"/>
      <c r="G948" s="6"/>
      <c r="H948" s="25"/>
      <c r="I948" s="25"/>
      <c r="J948" s="6"/>
      <c r="K948" s="6"/>
      <c r="L948" s="6"/>
      <c r="M948" s="6"/>
      <c r="N948" s="6"/>
      <c r="O948" s="6"/>
      <c r="P948" s="6"/>
      <c r="Q948" s="6"/>
      <c r="R948" s="6"/>
      <c r="S948" s="26"/>
      <c r="T948" s="26"/>
      <c r="U948" s="27"/>
      <c r="V948" s="6"/>
      <c r="W948" s="6"/>
      <c r="X948" s="6"/>
      <c r="Y948" s="6"/>
      <c r="Z948" s="6"/>
      <c r="AA948" s="6"/>
      <c r="AB948" s="6"/>
      <c r="AC948" s="6"/>
      <c r="AD948" s="6"/>
    </row>
    <row r="949">
      <c r="A949" s="6"/>
      <c r="B949" s="6"/>
      <c r="C949" s="6"/>
      <c r="D949" s="6"/>
      <c r="E949" s="6"/>
      <c r="F949" s="6"/>
      <c r="G949" s="6"/>
      <c r="H949" s="25"/>
      <c r="I949" s="25"/>
      <c r="J949" s="6"/>
      <c r="K949" s="6"/>
      <c r="L949" s="6"/>
      <c r="M949" s="6"/>
      <c r="N949" s="6"/>
      <c r="O949" s="6"/>
      <c r="P949" s="6"/>
      <c r="Q949" s="6"/>
      <c r="R949" s="6"/>
      <c r="S949" s="26"/>
      <c r="T949" s="26"/>
      <c r="U949" s="27"/>
      <c r="V949" s="6"/>
      <c r="W949" s="6"/>
      <c r="X949" s="6"/>
      <c r="Y949" s="6"/>
      <c r="Z949" s="6"/>
      <c r="AA949" s="6"/>
      <c r="AB949" s="6"/>
      <c r="AC949" s="6"/>
      <c r="AD949" s="6"/>
    </row>
    <row r="950">
      <c r="A950" s="6"/>
      <c r="B950" s="6"/>
      <c r="C950" s="6"/>
      <c r="D950" s="6"/>
      <c r="E950" s="6"/>
      <c r="F950" s="6"/>
      <c r="G950" s="6"/>
      <c r="H950" s="25"/>
      <c r="I950" s="25"/>
      <c r="J950" s="6"/>
      <c r="K950" s="6"/>
      <c r="L950" s="6"/>
      <c r="M950" s="6"/>
      <c r="N950" s="6"/>
      <c r="O950" s="6"/>
      <c r="P950" s="6"/>
      <c r="Q950" s="6"/>
      <c r="R950" s="6"/>
      <c r="S950" s="26"/>
      <c r="T950" s="26"/>
      <c r="U950" s="27"/>
      <c r="V950" s="6"/>
      <c r="W950" s="6"/>
      <c r="X950" s="6"/>
      <c r="Y950" s="6"/>
      <c r="Z950" s="6"/>
      <c r="AA950" s="6"/>
      <c r="AB950" s="6"/>
      <c r="AC950" s="6"/>
      <c r="AD950" s="6"/>
    </row>
    <row r="951">
      <c r="A951" s="6"/>
      <c r="B951" s="6"/>
      <c r="C951" s="6"/>
      <c r="D951" s="6"/>
      <c r="E951" s="6"/>
      <c r="F951" s="6"/>
      <c r="G951" s="6"/>
      <c r="H951" s="25"/>
      <c r="I951" s="25"/>
      <c r="J951" s="6"/>
      <c r="K951" s="6"/>
      <c r="L951" s="6"/>
      <c r="M951" s="6"/>
      <c r="N951" s="6"/>
      <c r="O951" s="6"/>
      <c r="P951" s="6"/>
      <c r="Q951" s="6"/>
      <c r="R951" s="6"/>
      <c r="S951" s="26"/>
      <c r="T951" s="26"/>
      <c r="U951" s="27"/>
      <c r="V951" s="6"/>
      <c r="W951" s="6"/>
      <c r="X951" s="6"/>
      <c r="Y951" s="6"/>
      <c r="Z951" s="6"/>
      <c r="AA951" s="6"/>
      <c r="AB951" s="6"/>
      <c r="AC951" s="6"/>
      <c r="AD951" s="6"/>
    </row>
    <row r="952">
      <c r="A952" s="6"/>
      <c r="B952" s="6"/>
      <c r="C952" s="6"/>
      <c r="D952" s="6"/>
      <c r="E952" s="6"/>
      <c r="F952" s="6"/>
      <c r="G952" s="6"/>
      <c r="H952" s="25"/>
      <c r="I952" s="25"/>
      <c r="J952" s="6"/>
      <c r="K952" s="6"/>
      <c r="L952" s="6"/>
      <c r="M952" s="6"/>
      <c r="N952" s="6"/>
      <c r="O952" s="6"/>
      <c r="P952" s="6"/>
      <c r="Q952" s="6"/>
      <c r="R952" s="6"/>
      <c r="S952" s="26"/>
      <c r="T952" s="26"/>
      <c r="U952" s="27"/>
      <c r="V952" s="6"/>
      <c r="W952" s="6"/>
      <c r="X952" s="6"/>
      <c r="Y952" s="6"/>
      <c r="Z952" s="6"/>
      <c r="AA952" s="6"/>
      <c r="AB952" s="6"/>
      <c r="AC952" s="6"/>
      <c r="AD952" s="6"/>
    </row>
    <row r="953">
      <c r="A953" s="6"/>
      <c r="B953" s="6"/>
      <c r="C953" s="6"/>
      <c r="D953" s="6"/>
      <c r="E953" s="6"/>
      <c r="F953" s="6"/>
      <c r="G953" s="6"/>
      <c r="H953" s="25"/>
      <c r="I953" s="25"/>
      <c r="J953" s="6"/>
      <c r="K953" s="6"/>
      <c r="L953" s="6"/>
      <c r="M953" s="6"/>
      <c r="N953" s="6"/>
      <c r="O953" s="6"/>
      <c r="P953" s="6"/>
      <c r="Q953" s="6"/>
      <c r="R953" s="6"/>
      <c r="S953" s="26"/>
      <c r="T953" s="26"/>
      <c r="U953" s="27"/>
      <c r="V953" s="6"/>
      <c r="W953" s="6"/>
      <c r="X953" s="6"/>
      <c r="Y953" s="6"/>
      <c r="Z953" s="6"/>
      <c r="AA953" s="6"/>
      <c r="AB953" s="6"/>
      <c r="AC953" s="6"/>
      <c r="AD953" s="6"/>
    </row>
    <row r="954">
      <c r="A954" s="6"/>
      <c r="B954" s="6"/>
      <c r="C954" s="6"/>
      <c r="D954" s="6"/>
      <c r="E954" s="6"/>
      <c r="F954" s="6"/>
      <c r="G954" s="6"/>
      <c r="H954" s="25"/>
      <c r="I954" s="25"/>
      <c r="J954" s="6"/>
      <c r="K954" s="6"/>
      <c r="L954" s="6"/>
      <c r="M954" s="6"/>
      <c r="N954" s="6"/>
      <c r="O954" s="6"/>
      <c r="P954" s="6"/>
      <c r="Q954" s="6"/>
      <c r="R954" s="6"/>
      <c r="S954" s="26"/>
      <c r="T954" s="26"/>
      <c r="U954" s="27"/>
      <c r="V954" s="6"/>
      <c r="W954" s="6"/>
      <c r="X954" s="6"/>
      <c r="Y954" s="6"/>
      <c r="Z954" s="6"/>
      <c r="AA954" s="6"/>
      <c r="AB954" s="6"/>
      <c r="AC954" s="6"/>
      <c r="AD954" s="6"/>
    </row>
    <row r="955">
      <c r="A955" s="6"/>
      <c r="B955" s="6"/>
      <c r="C955" s="6"/>
      <c r="D955" s="6"/>
      <c r="E955" s="6"/>
      <c r="F955" s="6"/>
      <c r="G955" s="6"/>
      <c r="H955" s="25"/>
      <c r="I955" s="25"/>
      <c r="J955" s="6"/>
      <c r="K955" s="6"/>
      <c r="L955" s="6"/>
      <c r="M955" s="6"/>
      <c r="N955" s="6"/>
      <c r="O955" s="6"/>
      <c r="P955" s="6"/>
      <c r="Q955" s="6"/>
      <c r="R955" s="6"/>
      <c r="S955" s="26"/>
      <c r="T955" s="26"/>
      <c r="U955" s="27"/>
      <c r="V955" s="6"/>
      <c r="W955" s="6"/>
      <c r="X955" s="6"/>
      <c r="Y955" s="6"/>
      <c r="Z955" s="6"/>
      <c r="AA955" s="6"/>
      <c r="AB955" s="6"/>
      <c r="AC955" s="6"/>
      <c r="AD955" s="6"/>
    </row>
    <row r="956">
      <c r="A956" s="6"/>
      <c r="B956" s="6"/>
      <c r="C956" s="6"/>
      <c r="D956" s="6"/>
      <c r="E956" s="6"/>
      <c r="F956" s="6"/>
      <c r="G956" s="6"/>
      <c r="H956" s="25"/>
      <c r="I956" s="25"/>
      <c r="J956" s="6"/>
      <c r="K956" s="6"/>
      <c r="L956" s="6"/>
      <c r="M956" s="6"/>
      <c r="N956" s="6"/>
      <c r="O956" s="6"/>
      <c r="P956" s="6"/>
      <c r="Q956" s="6"/>
      <c r="R956" s="6"/>
      <c r="S956" s="26"/>
      <c r="T956" s="26"/>
      <c r="U956" s="27"/>
      <c r="V956" s="6"/>
      <c r="W956" s="6"/>
      <c r="X956" s="6"/>
      <c r="Y956" s="6"/>
      <c r="Z956" s="6"/>
      <c r="AA956" s="6"/>
      <c r="AB956" s="6"/>
      <c r="AC956" s="6"/>
      <c r="AD956" s="6"/>
    </row>
    <row r="957">
      <c r="A957" s="6"/>
      <c r="B957" s="6"/>
      <c r="C957" s="6"/>
      <c r="D957" s="6"/>
      <c r="E957" s="6"/>
      <c r="F957" s="6"/>
      <c r="G957" s="6"/>
      <c r="H957" s="25"/>
      <c r="I957" s="25"/>
      <c r="J957" s="6"/>
      <c r="K957" s="6"/>
      <c r="L957" s="6"/>
      <c r="M957" s="6"/>
      <c r="N957" s="6"/>
      <c r="O957" s="6"/>
      <c r="P957" s="6"/>
      <c r="Q957" s="6"/>
      <c r="R957" s="6"/>
      <c r="S957" s="26"/>
      <c r="T957" s="26"/>
      <c r="U957" s="27"/>
      <c r="V957" s="6"/>
      <c r="W957" s="6"/>
      <c r="X957" s="6"/>
      <c r="Y957" s="6"/>
      <c r="Z957" s="6"/>
      <c r="AA957" s="6"/>
      <c r="AB957" s="6"/>
      <c r="AC957" s="6"/>
      <c r="AD957" s="6"/>
    </row>
    <row r="958">
      <c r="A958" s="6"/>
      <c r="B958" s="6"/>
      <c r="C958" s="6"/>
      <c r="D958" s="6"/>
      <c r="E958" s="6"/>
      <c r="F958" s="6"/>
      <c r="G958" s="6"/>
      <c r="H958" s="25"/>
      <c r="I958" s="25"/>
      <c r="J958" s="6"/>
      <c r="K958" s="6"/>
      <c r="L958" s="6"/>
      <c r="M958" s="6"/>
      <c r="N958" s="6"/>
      <c r="O958" s="6"/>
      <c r="P958" s="6"/>
      <c r="Q958" s="6"/>
      <c r="R958" s="6"/>
      <c r="S958" s="26"/>
      <c r="T958" s="26"/>
      <c r="U958" s="27"/>
      <c r="V958" s="6"/>
      <c r="W958" s="6"/>
      <c r="X958" s="6"/>
      <c r="Y958" s="6"/>
      <c r="Z958" s="6"/>
      <c r="AA958" s="6"/>
      <c r="AB958" s="6"/>
      <c r="AC958" s="6"/>
      <c r="AD958" s="6"/>
    </row>
    <row r="959">
      <c r="A959" s="6"/>
      <c r="B959" s="6"/>
      <c r="C959" s="6"/>
      <c r="D959" s="6"/>
      <c r="E959" s="6"/>
      <c r="F959" s="6"/>
      <c r="G959" s="6"/>
      <c r="H959" s="25"/>
      <c r="I959" s="25"/>
      <c r="J959" s="6"/>
      <c r="K959" s="6"/>
      <c r="L959" s="6"/>
      <c r="M959" s="6"/>
      <c r="N959" s="6"/>
      <c r="O959" s="6"/>
      <c r="P959" s="6"/>
      <c r="Q959" s="6"/>
      <c r="R959" s="6"/>
      <c r="S959" s="26"/>
      <c r="T959" s="26"/>
      <c r="U959" s="27"/>
      <c r="V959" s="6"/>
      <c r="W959" s="6"/>
      <c r="X959" s="6"/>
      <c r="Y959" s="6"/>
      <c r="Z959" s="6"/>
      <c r="AA959" s="6"/>
      <c r="AB959" s="6"/>
      <c r="AC959" s="6"/>
      <c r="AD959" s="6"/>
    </row>
    <row r="960">
      <c r="A960" s="6"/>
      <c r="B960" s="6"/>
      <c r="C960" s="6"/>
      <c r="D960" s="6"/>
      <c r="E960" s="6"/>
      <c r="F960" s="6"/>
      <c r="G960" s="6"/>
      <c r="H960" s="25"/>
      <c r="I960" s="25"/>
      <c r="J960" s="6"/>
      <c r="K960" s="6"/>
      <c r="L960" s="6"/>
      <c r="M960" s="6"/>
      <c r="N960" s="6"/>
      <c r="O960" s="6"/>
      <c r="P960" s="6"/>
      <c r="Q960" s="6"/>
      <c r="R960" s="6"/>
      <c r="S960" s="26"/>
      <c r="T960" s="26"/>
      <c r="U960" s="27"/>
      <c r="V960" s="6"/>
      <c r="W960" s="6"/>
      <c r="X960" s="6"/>
      <c r="Y960" s="6"/>
      <c r="Z960" s="6"/>
      <c r="AA960" s="6"/>
      <c r="AB960" s="6"/>
      <c r="AC960" s="6"/>
      <c r="AD960" s="6"/>
    </row>
    <row r="961">
      <c r="A961" s="6"/>
      <c r="B961" s="6"/>
      <c r="C961" s="6"/>
      <c r="D961" s="6"/>
      <c r="E961" s="6"/>
      <c r="F961" s="6"/>
      <c r="G961" s="6"/>
      <c r="H961" s="25"/>
      <c r="I961" s="25"/>
      <c r="J961" s="6"/>
      <c r="K961" s="6"/>
      <c r="L961" s="6"/>
      <c r="M961" s="6"/>
      <c r="N961" s="6"/>
      <c r="O961" s="6"/>
      <c r="P961" s="6"/>
      <c r="Q961" s="6"/>
      <c r="R961" s="6"/>
      <c r="S961" s="26"/>
      <c r="T961" s="26"/>
      <c r="U961" s="27"/>
      <c r="V961" s="6"/>
      <c r="W961" s="6"/>
      <c r="X961" s="6"/>
      <c r="Y961" s="6"/>
      <c r="Z961" s="6"/>
      <c r="AA961" s="6"/>
      <c r="AB961" s="6"/>
      <c r="AC961" s="6"/>
      <c r="AD961" s="6"/>
    </row>
    <row r="962">
      <c r="A962" s="6"/>
      <c r="B962" s="6"/>
      <c r="C962" s="6"/>
      <c r="D962" s="6"/>
      <c r="E962" s="6"/>
      <c r="F962" s="6"/>
      <c r="G962" s="6"/>
      <c r="H962" s="25"/>
      <c r="I962" s="25"/>
      <c r="J962" s="6"/>
      <c r="K962" s="6"/>
      <c r="L962" s="6"/>
      <c r="M962" s="6"/>
      <c r="N962" s="6"/>
      <c r="O962" s="6"/>
      <c r="P962" s="6"/>
      <c r="Q962" s="6"/>
      <c r="R962" s="6"/>
      <c r="S962" s="26"/>
      <c r="T962" s="26"/>
      <c r="U962" s="27"/>
      <c r="V962" s="6"/>
      <c r="W962" s="6"/>
      <c r="X962" s="6"/>
      <c r="Y962" s="6"/>
      <c r="Z962" s="6"/>
      <c r="AA962" s="6"/>
      <c r="AB962" s="6"/>
      <c r="AC962" s="6"/>
      <c r="AD962" s="6"/>
    </row>
    <row r="963">
      <c r="A963" s="6"/>
      <c r="B963" s="6"/>
      <c r="C963" s="6"/>
      <c r="D963" s="6"/>
      <c r="E963" s="6"/>
      <c r="F963" s="6"/>
      <c r="G963" s="6"/>
      <c r="H963" s="25"/>
      <c r="I963" s="25"/>
      <c r="J963" s="6"/>
      <c r="K963" s="6"/>
      <c r="L963" s="6"/>
      <c r="M963" s="6"/>
      <c r="N963" s="6"/>
      <c r="O963" s="6"/>
      <c r="P963" s="6"/>
      <c r="Q963" s="6"/>
      <c r="R963" s="6"/>
      <c r="S963" s="26"/>
      <c r="T963" s="26"/>
      <c r="U963" s="27"/>
      <c r="V963" s="6"/>
      <c r="W963" s="6"/>
      <c r="X963" s="6"/>
      <c r="Y963" s="6"/>
      <c r="Z963" s="6"/>
      <c r="AA963" s="6"/>
      <c r="AB963" s="6"/>
      <c r="AC963" s="6"/>
      <c r="AD963" s="6"/>
    </row>
    <row r="964">
      <c r="A964" s="6"/>
      <c r="B964" s="6"/>
      <c r="C964" s="6"/>
      <c r="D964" s="6"/>
      <c r="E964" s="6"/>
      <c r="F964" s="6"/>
      <c r="G964" s="6"/>
      <c r="H964" s="25"/>
      <c r="I964" s="25"/>
      <c r="J964" s="6"/>
      <c r="K964" s="6"/>
      <c r="L964" s="6"/>
      <c r="M964" s="6"/>
      <c r="N964" s="6"/>
      <c r="O964" s="6"/>
      <c r="P964" s="6"/>
      <c r="Q964" s="6"/>
      <c r="R964" s="6"/>
      <c r="S964" s="26"/>
      <c r="T964" s="26"/>
      <c r="U964" s="27"/>
      <c r="V964" s="6"/>
      <c r="W964" s="6"/>
      <c r="X964" s="6"/>
      <c r="Y964" s="6"/>
      <c r="Z964" s="6"/>
      <c r="AA964" s="6"/>
      <c r="AB964" s="6"/>
      <c r="AC964" s="6"/>
      <c r="AD964" s="6"/>
    </row>
    <row r="965">
      <c r="A965" s="6"/>
      <c r="B965" s="6"/>
      <c r="C965" s="6"/>
      <c r="D965" s="6"/>
      <c r="E965" s="6"/>
      <c r="F965" s="6"/>
      <c r="G965" s="6"/>
      <c r="H965" s="25"/>
      <c r="I965" s="25"/>
      <c r="J965" s="6"/>
      <c r="K965" s="6"/>
      <c r="L965" s="6"/>
      <c r="M965" s="6"/>
      <c r="N965" s="6"/>
      <c r="O965" s="6"/>
      <c r="P965" s="6"/>
      <c r="Q965" s="6"/>
      <c r="R965" s="6"/>
      <c r="S965" s="26"/>
      <c r="T965" s="26"/>
      <c r="U965" s="27"/>
      <c r="V965" s="6"/>
      <c r="W965" s="6"/>
      <c r="X965" s="6"/>
      <c r="Y965" s="6"/>
      <c r="Z965" s="6"/>
      <c r="AA965" s="6"/>
      <c r="AB965" s="6"/>
      <c r="AC965" s="6"/>
      <c r="AD965" s="6"/>
    </row>
    <row r="966">
      <c r="A966" s="6"/>
      <c r="B966" s="6"/>
      <c r="C966" s="6"/>
      <c r="D966" s="6"/>
      <c r="E966" s="6"/>
      <c r="F966" s="6"/>
      <c r="G966" s="6"/>
      <c r="H966" s="25"/>
      <c r="I966" s="25"/>
      <c r="J966" s="6"/>
      <c r="K966" s="6"/>
      <c r="L966" s="6"/>
      <c r="M966" s="6"/>
      <c r="N966" s="6"/>
      <c r="O966" s="6"/>
      <c r="P966" s="6"/>
      <c r="Q966" s="6"/>
      <c r="R966" s="6"/>
      <c r="S966" s="26"/>
      <c r="T966" s="26"/>
      <c r="U966" s="27"/>
      <c r="V966" s="6"/>
      <c r="W966" s="6"/>
      <c r="X966" s="6"/>
      <c r="Y966" s="6"/>
      <c r="Z966" s="6"/>
      <c r="AA966" s="6"/>
      <c r="AB966" s="6"/>
      <c r="AC966" s="6"/>
      <c r="AD966" s="6"/>
    </row>
    <row r="967">
      <c r="A967" s="6"/>
      <c r="B967" s="6"/>
      <c r="C967" s="6"/>
      <c r="D967" s="6"/>
      <c r="E967" s="6"/>
      <c r="F967" s="6"/>
      <c r="G967" s="6"/>
      <c r="H967" s="25"/>
      <c r="I967" s="25"/>
      <c r="J967" s="6"/>
      <c r="K967" s="6"/>
      <c r="L967" s="6"/>
      <c r="M967" s="6"/>
      <c r="N967" s="6"/>
      <c r="O967" s="6"/>
      <c r="P967" s="6"/>
      <c r="Q967" s="6"/>
      <c r="R967" s="6"/>
      <c r="S967" s="26"/>
      <c r="T967" s="26"/>
      <c r="U967" s="27"/>
      <c r="V967" s="6"/>
      <c r="W967" s="6"/>
      <c r="X967" s="6"/>
      <c r="Y967" s="6"/>
      <c r="Z967" s="6"/>
      <c r="AA967" s="6"/>
      <c r="AB967" s="6"/>
      <c r="AC967" s="6"/>
      <c r="AD967" s="6"/>
    </row>
    <row r="968">
      <c r="A968" s="6"/>
      <c r="B968" s="6"/>
      <c r="C968" s="6"/>
      <c r="D968" s="6"/>
      <c r="E968" s="6"/>
      <c r="F968" s="6"/>
      <c r="G968" s="6"/>
      <c r="H968" s="25"/>
      <c r="I968" s="25"/>
      <c r="J968" s="6"/>
      <c r="K968" s="6"/>
      <c r="L968" s="6"/>
      <c r="M968" s="6"/>
      <c r="N968" s="6"/>
      <c r="O968" s="6"/>
      <c r="P968" s="6"/>
      <c r="Q968" s="6"/>
      <c r="R968" s="6"/>
      <c r="S968" s="26"/>
      <c r="T968" s="26"/>
      <c r="U968" s="27"/>
      <c r="V968" s="6"/>
      <c r="W968" s="6"/>
      <c r="X968" s="6"/>
      <c r="Y968" s="6"/>
      <c r="Z968" s="6"/>
      <c r="AA968" s="6"/>
      <c r="AB968" s="6"/>
      <c r="AC968" s="6"/>
      <c r="AD968" s="6"/>
    </row>
    <row r="969">
      <c r="A969" s="6"/>
      <c r="B969" s="6"/>
      <c r="C969" s="6"/>
      <c r="D969" s="6"/>
      <c r="E969" s="6"/>
      <c r="F969" s="6"/>
      <c r="G969" s="6"/>
      <c r="H969" s="25"/>
      <c r="I969" s="25"/>
      <c r="J969" s="6"/>
      <c r="K969" s="6"/>
      <c r="L969" s="6"/>
      <c r="M969" s="6"/>
      <c r="N969" s="6"/>
      <c r="O969" s="6"/>
      <c r="P969" s="6"/>
      <c r="Q969" s="6"/>
      <c r="R969" s="6"/>
      <c r="S969" s="26"/>
      <c r="T969" s="26"/>
      <c r="U969" s="27"/>
      <c r="V969" s="6"/>
      <c r="W969" s="6"/>
      <c r="X969" s="6"/>
      <c r="Y969" s="6"/>
      <c r="Z969" s="6"/>
      <c r="AA969" s="6"/>
      <c r="AB969" s="6"/>
      <c r="AC969" s="6"/>
      <c r="AD969" s="6"/>
    </row>
    <row r="970">
      <c r="A970" s="6"/>
      <c r="B970" s="6"/>
      <c r="C970" s="6"/>
      <c r="D970" s="6"/>
      <c r="E970" s="6"/>
      <c r="F970" s="6"/>
      <c r="G970" s="6"/>
      <c r="H970" s="25"/>
      <c r="I970" s="25"/>
      <c r="J970" s="6"/>
      <c r="K970" s="6"/>
      <c r="L970" s="6"/>
      <c r="M970" s="6"/>
      <c r="N970" s="6"/>
      <c r="O970" s="6"/>
      <c r="P970" s="6"/>
      <c r="Q970" s="6"/>
      <c r="R970" s="6"/>
      <c r="S970" s="26"/>
      <c r="T970" s="26"/>
      <c r="U970" s="27"/>
      <c r="V970" s="6"/>
      <c r="W970" s="6"/>
      <c r="X970" s="6"/>
      <c r="Y970" s="6"/>
      <c r="Z970" s="6"/>
      <c r="AA970" s="6"/>
      <c r="AB970" s="6"/>
      <c r="AC970" s="6"/>
      <c r="AD970" s="6"/>
    </row>
    <row r="971">
      <c r="A971" s="6"/>
      <c r="B971" s="6"/>
      <c r="C971" s="6"/>
      <c r="D971" s="6"/>
      <c r="E971" s="6"/>
      <c r="F971" s="6"/>
      <c r="G971" s="6"/>
      <c r="H971" s="25"/>
      <c r="I971" s="25"/>
      <c r="J971" s="6"/>
      <c r="K971" s="6"/>
      <c r="L971" s="6"/>
      <c r="M971" s="6"/>
      <c r="N971" s="6"/>
      <c r="O971" s="6"/>
      <c r="P971" s="6"/>
      <c r="Q971" s="6"/>
      <c r="R971" s="6"/>
      <c r="S971" s="26"/>
      <c r="T971" s="26"/>
      <c r="U971" s="27"/>
      <c r="V971" s="6"/>
      <c r="W971" s="6"/>
      <c r="X971" s="6"/>
      <c r="Y971" s="6"/>
      <c r="Z971" s="6"/>
      <c r="AA971" s="6"/>
      <c r="AB971" s="6"/>
      <c r="AC971" s="6"/>
      <c r="AD971" s="6"/>
    </row>
    <row r="972">
      <c r="A972" s="6"/>
      <c r="B972" s="6"/>
      <c r="C972" s="6"/>
      <c r="D972" s="6"/>
      <c r="E972" s="6"/>
      <c r="F972" s="6"/>
      <c r="G972" s="6"/>
      <c r="H972" s="25"/>
      <c r="I972" s="25"/>
      <c r="J972" s="6"/>
      <c r="K972" s="6"/>
      <c r="L972" s="6"/>
      <c r="M972" s="6"/>
      <c r="N972" s="6"/>
      <c r="O972" s="6"/>
      <c r="P972" s="6"/>
      <c r="Q972" s="6"/>
      <c r="R972" s="6"/>
      <c r="S972" s="26"/>
      <c r="T972" s="26"/>
      <c r="U972" s="27"/>
      <c r="V972" s="6"/>
      <c r="W972" s="6"/>
      <c r="X972" s="6"/>
      <c r="Y972" s="6"/>
      <c r="Z972" s="6"/>
      <c r="AA972" s="6"/>
      <c r="AB972" s="6"/>
      <c r="AC972" s="6"/>
      <c r="AD972" s="6"/>
    </row>
    <row r="973">
      <c r="A973" s="6"/>
      <c r="B973" s="6"/>
      <c r="C973" s="6"/>
      <c r="D973" s="6"/>
      <c r="E973" s="6"/>
      <c r="F973" s="6"/>
      <c r="G973" s="6"/>
      <c r="H973" s="25"/>
      <c r="I973" s="25"/>
      <c r="J973" s="6"/>
      <c r="K973" s="6"/>
      <c r="L973" s="6"/>
      <c r="M973" s="6"/>
      <c r="N973" s="6"/>
      <c r="O973" s="6"/>
      <c r="P973" s="6"/>
      <c r="Q973" s="6"/>
      <c r="R973" s="6"/>
      <c r="S973" s="26"/>
      <c r="T973" s="26"/>
      <c r="U973" s="27"/>
      <c r="V973" s="6"/>
      <c r="W973" s="6"/>
      <c r="X973" s="6"/>
      <c r="Y973" s="6"/>
      <c r="Z973" s="6"/>
      <c r="AA973" s="6"/>
      <c r="AB973" s="6"/>
      <c r="AC973" s="6"/>
      <c r="AD973" s="6"/>
    </row>
    <row r="974">
      <c r="A974" s="6"/>
      <c r="B974" s="6"/>
      <c r="C974" s="6"/>
      <c r="D974" s="6"/>
      <c r="E974" s="6"/>
      <c r="F974" s="6"/>
      <c r="G974" s="6"/>
      <c r="H974" s="25"/>
      <c r="I974" s="25"/>
      <c r="J974" s="6"/>
      <c r="K974" s="6"/>
      <c r="L974" s="6"/>
      <c r="M974" s="6"/>
      <c r="N974" s="6"/>
      <c r="O974" s="6"/>
      <c r="P974" s="6"/>
      <c r="Q974" s="6"/>
      <c r="R974" s="6"/>
      <c r="S974" s="26"/>
      <c r="T974" s="26"/>
      <c r="U974" s="27"/>
      <c r="V974" s="6"/>
      <c r="W974" s="6"/>
      <c r="X974" s="6"/>
      <c r="Y974" s="6"/>
      <c r="Z974" s="6"/>
      <c r="AA974" s="6"/>
      <c r="AB974" s="6"/>
      <c r="AC974" s="6"/>
      <c r="AD974" s="6"/>
    </row>
    <row r="975">
      <c r="A975" s="6"/>
      <c r="B975" s="6"/>
      <c r="C975" s="6"/>
      <c r="D975" s="6"/>
      <c r="E975" s="6"/>
      <c r="F975" s="6"/>
      <c r="G975" s="6"/>
      <c r="H975" s="25"/>
      <c r="I975" s="25"/>
      <c r="J975" s="6"/>
      <c r="K975" s="6"/>
      <c r="L975" s="6"/>
      <c r="M975" s="6"/>
      <c r="N975" s="6"/>
      <c r="O975" s="6"/>
      <c r="P975" s="6"/>
      <c r="Q975" s="6"/>
      <c r="R975" s="6"/>
      <c r="S975" s="26"/>
      <c r="T975" s="26"/>
      <c r="U975" s="27"/>
      <c r="V975" s="6"/>
      <c r="W975" s="6"/>
      <c r="X975" s="6"/>
      <c r="Y975" s="6"/>
      <c r="Z975" s="6"/>
      <c r="AA975" s="6"/>
      <c r="AB975" s="6"/>
      <c r="AC975" s="6"/>
      <c r="AD975" s="6"/>
    </row>
    <row r="976">
      <c r="A976" s="6"/>
      <c r="B976" s="6"/>
      <c r="C976" s="6"/>
      <c r="D976" s="6"/>
      <c r="E976" s="6"/>
      <c r="F976" s="6"/>
      <c r="G976" s="6"/>
      <c r="H976" s="25"/>
      <c r="I976" s="25"/>
      <c r="J976" s="6"/>
      <c r="K976" s="6"/>
      <c r="L976" s="6"/>
      <c r="M976" s="6"/>
      <c r="N976" s="6"/>
      <c r="O976" s="6"/>
      <c r="P976" s="6"/>
      <c r="Q976" s="6"/>
      <c r="R976" s="6"/>
      <c r="S976" s="26"/>
      <c r="T976" s="26"/>
      <c r="U976" s="27"/>
      <c r="V976" s="6"/>
      <c r="W976" s="6"/>
      <c r="X976" s="6"/>
      <c r="Y976" s="6"/>
      <c r="Z976" s="6"/>
      <c r="AA976" s="6"/>
      <c r="AB976" s="6"/>
      <c r="AC976" s="6"/>
      <c r="AD976" s="6"/>
    </row>
    <row r="977">
      <c r="A977" s="6"/>
      <c r="B977" s="6"/>
      <c r="C977" s="6"/>
      <c r="D977" s="6"/>
      <c r="E977" s="6"/>
      <c r="F977" s="6"/>
      <c r="G977" s="6"/>
      <c r="H977" s="25"/>
      <c r="I977" s="25"/>
      <c r="J977" s="6"/>
      <c r="K977" s="6"/>
      <c r="L977" s="6"/>
      <c r="M977" s="6"/>
      <c r="N977" s="6"/>
      <c r="O977" s="6"/>
      <c r="P977" s="6"/>
      <c r="Q977" s="6"/>
      <c r="R977" s="6"/>
      <c r="S977" s="26"/>
      <c r="T977" s="26"/>
      <c r="U977" s="27"/>
      <c r="V977" s="6"/>
      <c r="W977" s="6"/>
      <c r="X977" s="6"/>
      <c r="Y977" s="6"/>
      <c r="Z977" s="6"/>
      <c r="AA977" s="6"/>
      <c r="AB977" s="6"/>
      <c r="AC977" s="6"/>
      <c r="AD977" s="6"/>
    </row>
    <row r="978">
      <c r="A978" s="6"/>
      <c r="B978" s="6"/>
      <c r="C978" s="6"/>
      <c r="D978" s="6"/>
      <c r="E978" s="6"/>
      <c r="F978" s="6"/>
      <c r="G978" s="6"/>
      <c r="H978" s="25"/>
      <c r="I978" s="25"/>
      <c r="J978" s="6"/>
      <c r="K978" s="6"/>
      <c r="L978" s="6"/>
      <c r="M978" s="6"/>
      <c r="N978" s="6"/>
      <c r="O978" s="6"/>
      <c r="P978" s="6"/>
      <c r="Q978" s="6"/>
      <c r="R978" s="6"/>
      <c r="S978" s="26"/>
      <c r="T978" s="26"/>
      <c r="U978" s="27"/>
      <c r="V978" s="6"/>
      <c r="W978" s="6"/>
      <c r="X978" s="6"/>
      <c r="Y978" s="6"/>
      <c r="Z978" s="6"/>
      <c r="AA978" s="6"/>
      <c r="AB978" s="6"/>
      <c r="AC978" s="6"/>
      <c r="AD978" s="6"/>
    </row>
    <row r="979">
      <c r="A979" s="6"/>
      <c r="B979" s="6"/>
      <c r="C979" s="6"/>
      <c r="D979" s="6"/>
      <c r="E979" s="6"/>
      <c r="F979" s="6"/>
      <c r="G979" s="6"/>
      <c r="H979" s="25"/>
      <c r="I979" s="25"/>
      <c r="J979" s="6"/>
      <c r="K979" s="6"/>
      <c r="L979" s="6"/>
      <c r="M979" s="6"/>
      <c r="N979" s="6"/>
      <c r="O979" s="6"/>
      <c r="P979" s="6"/>
      <c r="Q979" s="6"/>
      <c r="R979" s="6"/>
      <c r="S979" s="26"/>
      <c r="T979" s="26"/>
      <c r="U979" s="27"/>
      <c r="V979" s="6"/>
      <c r="W979" s="6"/>
      <c r="X979" s="6"/>
      <c r="Y979" s="6"/>
      <c r="Z979" s="6"/>
      <c r="AA979" s="6"/>
      <c r="AB979" s="6"/>
      <c r="AC979" s="6"/>
      <c r="AD979" s="6"/>
    </row>
    <row r="980">
      <c r="A980" s="6"/>
      <c r="B980" s="6"/>
      <c r="C980" s="6"/>
      <c r="D980" s="6"/>
      <c r="E980" s="6"/>
      <c r="F980" s="6"/>
      <c r="G980" s="6"/>
      <c r="H980" s="25"/>
      <c r="I980" s="25"/>
      <c r="J980" s="6"/>
      <c r="K980" s="6"/>
      <c r="L980" s="6"/>
      <c r="M980" s="6"/>
      <c r="N980" s="6"/>
      <c r="O980" s="6"/>
      <c r="P980" s="6"/>
      <c r="Q980" s="6"/>
      <c r="R980" s="6"/>
      <c r="S980" s="26"/>
      <c r="T980" s="26"/>
      <c r="U980" s="27"/>
      <c r="V980" s="6"/>
      <c r="W980" s="6"/>
      <c r="X980" s="6"/>
      <c r="Y980" s="6"/>
      <c r="Z980" s="6"/>
      <c r="AA980" s="6"/>
      <c r="AB980" s="6"/>
      <c r="AC980" s="6"/>
      <c r="AD980" s="6"/>
    </row>
    <row r="981">
      <c r="A981" s="6"/>
      <c r="B981" s="6"/>
      <c r="C981" s="6"/>
      <c r="D981" s="6"/>
      <c r="E981" s="6"/>
      <c r="F981" s="6"/>
      <c r="G981" s="6"/>
      <c r="H981" s="25"/>
      <c r="I981" s="25"/>
      <c r="J981" s="6"/>
      <c r="K981" s="6"/>
      <c r="L981" s="6"/>
      <c r="M981" s="6"/>
      <c r="N981" s="6"/>
      <c r="O981" s="6"/>
      <c r="P981" s="6"/>
      <c r="Q981" s="6"/>
      <c r="R981" s="6"/>
      <c r="S981" s="26"/>
      <c r="T981" s="26"/>
      <c r="U981" s="27"/>
      <c r="V981" s="6"/>
      <c r="W981" s="6"/>
      <c r="X981" s="6"/>
      <c r="Y981" s="6"/>
      <c r="Z981" s="6"/>
      <c r="AA981" s="6"/>
      <c r="AB981" s="6"/>
      <c r="AC981" s="6"/>
      <c r="AD981" s="6"/>
    </row>
    <row r="982">
      <c r="A982" s="6"/>
      <c r="B982" s="6"/>
      <c r="C982" s="6"/>
      <c r="D982" s="6"/>
      <c r="E982" s="6"/>
      <c r="F982" s="6"/>
      <c r="G982" s="6"/>
      <c r="H982" s="25"/>
      <c r="I982" s="25"/>
      <c r="J982" s="6"/>
      <c r="K982" s="6"/>
      <c r="L982" s="6"/>
      <c r="M982" s="6"/>
      <c r="N982" s="6"/>
      <c r="O982" s="6"/>
      <c r="P982" s="6"/>
      <c r="Q982" s="6"/>
      <c r="R982" s="6"/>
      <c r="S982" s="26"/>
      <c r="T982" s="26"/>
      <c r="U982" s="27"/>
      <c r="V982" s="6"/>
      <c r="W982" s="6"/>
      <c r="X982" s="6"/>
      <c r="Y982" s="6"/>
      <c r="Z982" s="6"/>
      <c r="AA982" s="6"/>
      <c r="AB982" s="6"/>
      <c r="AC982" s="6"/>
      <c r="AD982" s="6"/>
    </row>
    <row r="983">
      <c r="A983" s="6"/>
      <c r="B983" s="6"/>
      <c r="C983" s="6"/>
      <c r="D983" s="6"/>
      <c r="E983" s="6"/>
      <c r="F983" s="6"/>
      <c r="G983" s="6"/>
      <c r="H983" s="25"/>
      <c r="I983" s="25"/>
      <c r="J983" s="6"/>
      <c r="K983" s="6"/>
      <c r="L983" s="6"/>
      <c r="M983" s="6"/>
      <c r="N983" s="6"/>
      <c r="O983" s="6"/>
      <c r="P983" s="6"/>
      <c r="Q983" s="6"/>
      <c r="R983" s="6"/>
      <c r="S983" s="26"/>
      <c r="T983" s="26"/>
      <c r="U983" s="27"/>
      <c r="V983" s="6"/>
      <c r="W983" s="6"/>
      <c r="X983" s="6"/>
      <c r="Y983" s="6"/>
      <c r="Z983" s="6"/>
      <c r="AA983" s="6"/>
      <c r="AB983" s="6"/>
      <c r="AC983" s="6"/>
      <c r="AD983" s="6"/>
    </row>
    <row r="984">
      <c r="A984" s="6"/>
      <c r="B984" s="6"/>
      <c r="C984" s="6"/>
      <c r="D984" s="6"/>
      <c r="E984" s="6"/>
      <c r="F984" s="6"/>
      <c r="G984" s="6"/>
      <c r="H984" s="25"/>
      <c r="I984" s="25"/>
      <c r="J984" s="6"/>
      <c r="K984" s="6"/>
      <c r="L984" s="6"/>
      <c r="M984" s="6"/>
      <c r="N984" s="6"/>
      <c r="O984" s="6"/>
      <c r="P984" s="6"/>
      <c r="Q984" s="6"/>
      <c r="R984" s="6"/>
      <c r="S984" s="26"/>
      <c r="T984" s="26"/>
      <c r="U984" s="27"/>
      <c r="V984" s="6"/>
      <c r="W984" s="6"/>
      <c r="X984" s="6"/>
      <c r="Y984" s="6"/>
      <c r="Z984" s="6"/>
      <c r="AA984" s="6"/>
      <c r="AB984" s="6"/>
      <c r="AC984" s="6"/>
      <c r="AD984" s="6"/>
    </row>
    <row r="985">
      <c r="A985" s="6"/>
      <c r="B985" s="6"/>
      <c r="C985" s="6"/>
      <c r="D985" s="6"/>
      <c r="E985" s="6"/>
      <c r="F985" s="6"/>
      <c r="G985" s="6"/>
      <c r="H985" s="25"/>
      <c r="I985" s="25"/>
      <c r="J985" s="6"/>
      <c r="K985" s="6"/>
      <c r="L985" s="6"/>
      <c r="M985" s="6"/>
      <c r="N985" s="6"/>
      <c r="O985" s="6"/>
      <c r="P985" s="6"/>
      <c r="Q985" s="6"/>
      <c r="R985" s="6"/>
      <c r="S985" s="26"/>
      <c r="T985" s="26"/>
      <c r="U985" s="27"/>
      <c r="V985" s="6"/>
      <c r="W985" s="6"/>
      <c r="X985" s="6"/>
      <c r="Y985" s="6"/>
      <c r="Z985" s="6"/>
      <c r="AA985" s="6"/>
      <c r="AB985" s="6"/>
      <c r="AC985" s="6"/>
      <c r="AD985" s="6"/>
    </row>
    <row r="986">
      <c r="A986" s="6"/>
      <c r="B986" s="6"/>
      <c r="C986" s="6"/>
      <c r="D986" s="6"/>
      <c r="E986" s="6"/>
      <c r="F986" s="6"/>
      <c r="G986" s="6"/>
      <c r="H986" s="25"/>
      <c r="I986" s="25"/>
      <c r="J986" s="6"/>
      <c r="K986" s="6"/>
      <c r="L986" s="6"/>
      <c r="M986" s="6"/>
      <c r="N986" s="6"/>
      <c r="O986" s="6"/>
      <c r="P986" s="6"/>
      <c r="Q986" s="6"/>
      <c r="R986" s="6"/>
      <c r="S986" s="26"/>
      <c r="T986" s="26"/>
      <c r="U986" s="27"/>
      <c r="V986" s="6"/>
      <c r="W986" s="6"/>
      <c r="X986" s="6"/>
      <c r="Y986" s="6"/>
      <c r="Z986" s="6"/>
      <c r="AA986" s="6"/>
      <c r="AB986" s="6"/>
      <c r="AC986" s="6"/>
      <c r="AD986" s="6"/>
    </row>
    <row r="987">
      <c r="A987" s="6"/>
      <c r="B987" s="6"/>
      <c r="C987" s="6"/>
      <c r="D987" s="6"/>
      <c r="E987" s="6"/>
      <c r="F987" s="6"/>
      <c r="G987" s="6"/>
      <c r="H987" s="25"/>
      <c r="I987" s="25"/>
      <c r="J987" s="6"/>
      <c r="K987" s="6"/>
      <c r="L987" s="6"/>
      <c r="M987" s="6"/>
      <c r="N987" s="6"/>
      <c r="O987" s="6"/>
      <c r="P987" s="6"/>
      <c r="Q987" s="6"/>
      <c r="R987" s="6"/>
      <c r="S987" s="26"/>
      <c r="T987" s="26"/>
      <c r="U987" s="27"/>
      <c r="V987" s="6"/>
      <c r="W987" s="6"/>
      <c r="X987" s="6"/>
      <c r="Y987" s="6"/>
      <c r="Z987" s="6"/>
      <c r="AA987" s="6"/>
      <c r="AB987" s="6"/>
      <c r="AC987" s="6"/>
      <c r="AD987" s="6"/>
    </row>
    <row r="988">
      <c r="A988" s="6"/>
      <c r="B988" s="6"/>
      <c r="C988" s="6"/>
      <c r="D988" s="6"/>
      <c r="E988" s="6"/>
      <c r="F988" s="6"/>
      <c r="G988" s="6"/>
      <c r="H988" s="25"/>
      <c r="I988" s="25"/>
      <c r="J988" s="6"/>
      <c r="K988" s="6"/>
      <c r="L988" s="6"/>
      <c r="M988" s="6"/>
      <c r="N988" s="6"/>
      <c r="O988" s="6"/>
      <c r="P988" s="6"/>
      <c r="Q988" s="6"/>
      <c r="R988" s="6"/>
      <c r="S988" s="26"/>
      <c r="T988" s="26"/>
      <c r="U988" s="27"/>
      <c r="V988" s="6"/>
      <c r="W988" s="6"/>
      <c r="X988" s="6"/>
      <c r="Y988" s="6"/>
      <c r="Z988" s="6"/>
      <c r="AA988" s="6"/>
      <c r="AB988" s="6"/>
      <c r="AC988" s="6"/>
      <c r="AD988" s="6"/>
    </row>
    <row r="989">
      <c r="A989" s="6"/>
      <c r="B989" s="6"/>
      <c r="C989" s="6"/>
      <c r="D989" s="6"/>
      <c r="E989" s="6"/>
      <c r="F989" s="6"/>
      <c r="G989" s="6"/>
      <c r="H989" s="25"/>
      <c r="I989" s="25"/>
      <c r="J989" s="6"/>
      <c r="K989" s="6"/>
      <c r="L989" s="6"/>
      <c r="M989" s="6"/>
      <c r="N989" s="6"/>
      <c r="O989" s="6"/>
      <c r="P989" s="6"/>
      <c r="Q989" s="6"/>
      <c r="R989" s="6"/>
      <c r="S989" s="26"/>
      <c r="T989" s="26"/>
      <c r="U989" s="27"/>
      <c r="V989" s="6"/>
      <c r="W989" s="6"/>
      <c r="X989" s="6"/>
      <c r="Y989" s="6"/>
      <c r="Z989" s="6"/>
      <c r="AA989" s="6"/>
      <c r="AB989" s="6"/>
      <c r="AC989" s="6"/>
      <c r="AD989" s="6"/>
    </row>
    <row r="990">
      <c r="A990" s="6"/>
      <c r="B990" s="6"/>
      <c r="C990" s="6"/>
      <c r="D990" s="6"/>
      <c r="E990" s="6"/>
      <c r="F990" s="6"/>
      <c r="G990" s="6"/>
      <c r="H990" s="25"/>
      <c r="I990" s="25"/>
      <c r="J990" s="6"/>
      <c r="K990" s="6"/>
      <c r="L990" s="6"/>
      <c r="M990" s="6"/>
      <c r="N990" s="6"/>
      <c r="O990" s="6"/>
      <c r="P990" s="6"/>
      <c r="Q990" s="6"/>
      <c r="R990" s="6"/>
      <c r="S990" s="26"/>
      <c r="T990" s="26"/>
      <c r="U990" s="27"/>
      <c r="V990" s="6"/>
      <c r="W990" s="6"/>
      <c r="X990" s="6"/>
      <c r="Y990" s="6"/>
      <c r="Z990" s="6"/>
      <c r="AA990" s="6"/>
      <c r="AB990" s="6"/>
      <c r="AC990" s="6"/>
      <c r="AD990" s="6"/>
    </row>
    <row r="991">
      <c r="A991" s="6"/>
      <c r="B991" s="6"/>
      <c r="C991" s="6"/>
      <c r="D991" s="6"/>
      <c r="E991" s="6"/>
      <c r="F991" s="6"/>
      <c r="G991" s="6"/>
      <c r="H991" s="25"/>
      <c r="I991" s="25"/>
      <c r="J991" s="6"/>
      <c r="K991" s="6"/>
      <c r="L991" s="6"/>
      <c r="M991" s="6"/>
      <c r="N991" s="6"/>
      <c r="O991" s="6"/>
      <c r="P991" s="6"/>
      <c r="Q991" s="6"/>
      <c r="R991" s="6"/>
      <c r="S991" s="26"/>
      <c r="T991" s="26"/>
      <c r="U991" s="27"/>
      <c r="V991" s="6"/>
      <c r="W991" s="6"/>
      <c r="X991" s="6"/>
      <c r="Y991" s="6"/>
      <c r="Z991" s="6"/>
      <c r="AA991" s="6"/>
      <c r="AB991" s="6"/>
      <c r="AC991" s="6"/>
      <c r="AD991" s="6"/>
    </row>
    <row r="992">
      <c r="A992" s="6"/>
      <c r="B992" s="6"/>
      <c r="C992" s="6"/>
      <c r="D992" s="6"/>
      <c r="E992" s="6"/>
      <c r="F992" s="6"/>
      <c r="G992" s="6"/>
      <c r="H992" s="25"/>
      <c r="I992" s="25"/>
      <c r="J992" s="6"/>
      <c r="K992" s="6"/>
      <c r="L992" s="6"/>
      <c r="M992" s="6"/>
      <c r="N992" s="6"/>
      <c r="O992" s="6"/>
      <c r="P992" s="6"/>
      <c r="Q992" s="6"/>
      <c r="R992" s="6"/>
      <c r="S992" s="26"/>
      <c r="T992" s="26"/>
      <c r="U992" s="27"/>
      <c r="V992" s="6"/>
      <c r="W992" s="6"/>
      <c r="X992" s="6"/>
      <c r="Y992" s="6"/>
      <c r="Z992" s="6"/>
      <c r="AA992" s="6"/>
      <c r="AB992" s="6"/>
      <c r="AC992" s="6"/>
      <c r="AD992" s="6"/>
    </row>
    <row r="993">
      <c r="A993" s="6"/>
      <c r="B993" s="6"/>
      <c r="C993" s="6"/>
      <c r="D993" s="6"/>
      <c r="E993" s="6"/>
      <c r="F993" s="6"/>
      <c r="G993" s="6"/>
      <c r="H993" s="25"/>
      <c r="I993" s="25"/>
      <c r="J993" s="6"/>
      <c r="K993" s="6"/>
      <c r="L993" s="6"/>
      <c r="M993" s="6"/>
      <c r="N993" s="6"/>
      <c r="O993" s="6"/>
      <c r="P993" s="6"/>
      <c r="Q993" s="6"/>
      <c r="R993" s="6"/>
      <c r="S993" s="26"/>
      <c r="T993" s="26"/>
      <c r="U993" s="27"/>
      <c r="V993" s="6"/>
      <c r="W993" s="6"/>
      <c r="X993" s="6"/>
      <c r="Y993" s="6"/>
      <c r="Z993" s="6"/>
      <c r="AA993" s="6"/>
      <c r="AB993" s="6"/>
      <c r="AC993" s="6"/>
      <c r="AD993" s="6"/>
    </row>
    <row r="994">
      <c r="A994" s="6"/>
      <c r="B994" s="6"/>
      <c r="C994" s="6"/>
      <c r="D994" s="6"/>
      <c r="E994" s="6"/>
      <c r="F994" s="6"/>
      <c r="G994" s="6"/>
      <c r="H994" s="25"/>
      <c r="I994" s="25"/>
      <c r="J994" s="6"/>
      <c r="K994" s="6"/>
      <c r="L994" s="6"/>
      <c r="M994" s="6"/>
      <c r="N994" s="6"/>
      <c r="O994" s="6"/>
      <c r="P994" s="6"/>
      <c r="Q994" s="6"/>
      <c r="R994" s="6"/>
      <c r="S994" s="26"/>
      <c r="T994" s="26"/>
      <c r="U994" s="27"/>
      <c r="V994" s="6"/>
      <c r="W994" s="6"/>
      <c r="X994" s="6"/>
      <c r="Y994" s="6"/>
      <c r="Z994" s="6"/>
      <c r="AA994" s="6"/>
      <c r="AB994" s="6"/>
      <c r="AC994" s="6"/>
      <c r="AD994" s="6"/>
    </row>
    <row r="995">
      <c r="A995" s="6"/>
      <c r="B995" s="6"/>
      <c r="C995" s="6"/>
      <c r="D995" s="6"/>
      <c r="E995" s="6"/>
      <c r="F995" s="6"/>
      <c r="G995" s="6"/>
      <c r="H995" s="25"/>
      <c r="I995" s="25"/>
      <c r="J995" s="6"/>
      <c r="K995" s="6"/>
      <c r="L995" s="6"/>
      <c r="M995" s="6"/>
      <c r="N995" s="6"/>
      <c r="O995" s="6"/>
      <c r="P995" s="6"/>
      <c r="Q995" s="6"/>
      <c r="R995" s="6"/>
      <c r="S995" s="26"/>
      <c r="T995" s="26"/>
      <c r="U995" s="27"/>
      <c r="V995" s="6"/>
      <c r="W995" s="6"/>
      <c r="X995" s="6"/>
      <c r="Y995" s="6"/>
      <c r="Z995" s="6"/>
      <c r="AA995" s="6"/>
      <c r="AB995" s="6"/>
      <c r="AC995" s="6"/>
      <c r="AD995" s="6"/>
    </row>
    <row r="996">
      <c r="A996" s="6"/>
      <c r="B996" s="6"/>
      <c r="C996" s="6"/>
      <c r="D996" s="6"/>
      <c r="E996" s="6"/>
      <c r="F996" s="6"/>
      <c r="G996" s="6"/>
      <c r="H996" s="25"/>
      <c r="I996" s="25"/>
      <c r="J996" s="6"/>
      <c r="K996" s="6"/>
      <c r="L996" s="6"/>
      <c r="M996" s="6"/>
      <c r="N996" s="6"/>
      <c r="O996" s="6"/>
      <c r="P996" s="6"/>
      <c r="Q996" s="6"/>
      <c r="R996" s="6"/>
      <c r="S996" s="26"/>
      <c r="T996" s="26"/>
      <c r="U996" s="27"/>
      <c r="V996" s="6"/>
      <c r="W996" s="6"/>
      <c r="X996" s="6"/>
      <c r="Y996" s="6"/>
      <c r="Z996" s="6"/>
      <c r="AA996" s="6"/>
      <c r="AB996" s="6"/>
      <c r="AC996" s="6"/>
      <c r="AD996" s="6"/>
    </row>
    <row r="997">
      <c r="A997" s="6"/>
      <c r="B997" s="6"/>
      <c r="C997" s="6"/>
      <c r="D997" s="6"/>
      <c r="E997" s="6"/>
      <c r="F997" s="6"/>
      <c r="G997" s="6"/>
      <c r="H997" s="25"/>
      <c r="I997" s="25"/>
      <c r="J997" s="6"/>
      <c r="K997" s="6"/>
      <c r="L997" s="6"/>
      <c r="M997" s="6"/>
      <c r="N997" s="6"/>
      <c r="O997" s="6"/>
      <c r="P997" s="6"/>
      <c r="Q997" s="6"/>
      <c r="R997" s="6"/>
      <c r="S997" s="26"/>
      <c r="T997" s="26"/>
      <c r="U997" s="27"/>
      <c r="V997" s="6"/>
      <c r="W997" s="6"/>
      <c r="X997" s="6"/>
      <c r="Y997" s="6"/>
      <c r="Z997" s="6"/>
      <c r="AA997" s="6"/>
      <c r="AB997" s="6"/>
      <c r="AC997" s="6"/>
      <c r="AD997" s="6"/>
    </row>
    <row r="998">
      <c r="A998" s="6"/>
      <c r="B998" s="6"/>
      <c r="C998" s="6"/>
      <c r="D998" s="6"/>
      <c r="E998" s="6"/>
      <c r="F998" s="6"/>
      <c r="G998" s="6"/>
      <c r="H998" s="25"/>
      <c r="I998" s="25"/>
      <c r="J998" s="6"/>
      <c r="K998" s="6"/>
      <c r="L998" s="6"/>
      <c r="M998" s="6"/>
      <c r="N998" s="6"/>
      <c r="O998" s="6"/>
      <c r="P998" s="6"/>
      <c r="Q998" s="6"/>
      <c r="R998" s="6"/>
      <c r="S998" s="26"/>
      <c r="T998" s="26"/>
      <c r="U998" s="27"/>
      <c r="V998" s="6"/>
      <c r="W998" s="6"/>
      <c r="X998" s="6"/>
      <c r="Y998" s="6"/>
      <c r="Z998" s="6"/>
      <c r="AA998" s="6"/>
      <c r="AB998" s="6"/>
      <c r="AC998" s="6"/>
      <c r="AD998" s="6"/>
    </row>
    <row r="999">
      <c r="A999" s="6"/>
      <c r="B999" s="6"/>
      <c r="C999" s="6"/>
      <c r="D999" s="6"/>
      <c r="E999" s="6"/>
      <c r="F999" s="6"/>
      <c r="G999" s="6"/>
      <c r="H999" s="25"/>
      <c r="I999" s="25"/>
      <c r="J999" s="6"/>
      <c r="K999" s="6"/>
      <c r="L999" s="6"/>
      <c r="M999" s="6"/>
      <c r="N999" s="6"/>
      <c r="O999" s="6"/>
      <c r="P999" s="6"/>
      <c r="Q999" s="6"/>
      <c r="R999" s="6"/>
      <c r="S999" s="26"/>
      <c r="T999" s="26"/>
      <c r="U999" s="27"/>
      <c r="V999" s="6"/>
      <c r="W999" s="6"/>
      <c r="X999" s="6"/>
      <c r="Y999" s="6"/>
      <c r="Z999" s="6"/>
      <c r="AA999" s="6"/>
      <c r="AB999" s="6"/>
      <c r="AC999" s="6"/>
      <c r="AD999" s="6"/>
    </row>
  </sheetData>
  <dataValidations>
    <dataValidation type="custom" allowBlank="1" showDropDown="1" sqref="C2:C66">
      <formula1>OR(NOT(ISERROR(DATEVALUE(C2))), AND(ISNUMBER(C2), LEFT(CELL("format", C2))="D"))</formula1>
    </dataValidation>
    <dataValidation type="custom" allowBlank="1" showDropDown="1" sqref="U2:U66">
      <formula1>AND(ISNUMBER(U2),(NOT(OR(NOT(ISERROR(DATEVALUE(U2))), AND(ISNUMBER(U2), LEFT(CELL("format", U2))="D")))))</formula1>
    </dataValidation>
    <dataValidation allowBlank="1" showDropDown="1" sqref="G2:G66"/>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C13"/>
    <hyperlink r:id="rId14" ref="B14"/>
    <hyperlink r:id="rId15" ref="C14"/>
    <hyperlink r:id="rId16" ref="B15"/>
    <hyperlink r:id="rId17" ref="C15"/>
    <hyperlink r:id="rId18" ref="B16"/>
    <hyperlink r:id="rId19" ref="C16"/>
    <hyperlink r:id="rId20" ref="B17"/>
    <hyperlink r:id="rId21" ref="C17"/>
    <hyperlink r:id="rId22" ref="B18"/>
    <hyperlink r:id="rId23" ref="C18"/>
    <hyperlink r:id="rId24" ref="B19"/>
    <hyperlink r:id="rId25" ref="C19"/>
    <hyperlink r:id="rId26" ref="B20"/>
    <hyperlink r:id="rId27" ref="C20"/>
    <hyperlink r:id="rId28" ref="B21"/>
    <hyperlink r:id="rId29" ref="C21"/>
    <hyperlink r:id="rId30" ref="B22"/>
    <hyperlink r:id="rId31" ref="C22"/>
    <hyperlink r:id="rId32" ref="B23"/>
    <hyperlink r:id="rId33" ref="C23"/>
    <hyperlink r:id="rId34" ref="B24"/>
    <hyperlink r:id="rId35" ref="C24"/>
    <hyperlink r:id="rId36" ref="B25"/>
    <hyperlink r:id="rId37" ref="C25"/>
    <hyperlink r:id="rId38" ref="B26"/>
    <hyperlink r:id="rId39" ref="C26"/>
    <hyperlink r:id="rId40" ref="B27"/>
    <hyperlink r:id="rId41" ref="C27"/>
    <hyperlink r:id="rId42" ref="B28"/>
    <hyperlink r:id="rId43" ref="C28"/>
    <hyperlink r:id="rId44" ref="B29"/>
    <hyperlink r:id="rId45" ref="C29"/>
    <hyperlink r:id="rId46" ref="B30"/>
    <hyperlink r:id="rId47" ref="C30"/>
    <hyperlink r:id="rId48" ref="B31"/>
    <hyperlink r:id="rId49" ref="C31"/>
    <hyperlink r:id="rId50" ref="B32"/>
    <hyperlink r:id="rId51" ref="C32"/>
    <hyperlink r:id="rId52" ref="B33"/>
    <hyperlink r:id="rId53" ref="C33"/>
    <hyperlink r:id="rId54" ref="B34"/>
    <hyperlink r:id="rId55" ref="C34"/>
    <hyperlink r:id="rId56" ref="B35"/>
    <hyperlink r:id="rId57" ref="C35"/>
    <hyperlink r:id="rId58" ref="B36"/>
    <hyperlink r:id="rId59" ref="C36"/>
    <hyperlink r:id="rId60" ref="B37"/>
    <hyperlink r:id="rId61" ref="C37"/>
    <hyperlink r:id="rId62" ref="B38"/>
    <hyperlink r:id="rId63" ref="C38"/>
    <hyperlink r:id="rId64" ref="B39"/>
    <hyperlink r:id="rId65" ref="C39"/>
    <hyperlink r:id="rId66" ref="B40"/>
    <hyperlink r:id="rId67" ref="C40"/>
    <hyperlink r:id="rId68" ref="B41"/>
    <hyperlink r:id="rId69" ref="C41"/>
    <hyperlink r:id="rId70" ref="B42"/>
    <hyperlink r:id="rId71" ref="C42"/>
    <hyperlink r:id="rId72" ref="B43"/>
    <hyperlink r:id="rId73" ref="C43"/>
    <hyperlink r:id="rId74" ref="B44"/>
    <hyperlink r:id="rId75" ref="C44"/>
    <hyperlink r:id="rId76" ref="B45"/>
    <hyperlink r:id="rId77" ref="C45"/>
    <hyperlink r:id="rId78" ref="B46"/>
    <hyperlink r:id="rId79" ref="C46"/>
    <hyperlink r:id="rId80" ref="B47"/>
    <hyperlink r:id="rId81" ref="B48"/>
    <hyperlink r:id="rId82" ref="C48"/>
    <hyperlink r:id="rId83" ref="B49"/>
    <hyperlink r:id="rId84" ref="C49"/>
    <hyperlink r:id="rId85" ref="B50"/>
    <hyperlink r:id="rId86" ref="C50"/>
    <hyperlink r:id="rId87" ref="B51"/>
    <hyperlink r:id="rId88" ref="C51"/>
    <hyperlink r:id="rId89" ref="B52"/>
    <hyperlink r:id="rId90" ref="C52"/>
    <hyperlink r:id="rId91" ref="B53"/>
    <hyperlink r:id="rId92" ref="B54"/>
    <hyperlink r:id="rId93" ref="C54"/>
    <hyperlink r:id="rId94" ref="B55"/>
    <hyperlink r:id="rId95" ref="C55"/>
    <hyperlink r:id="rId96" ref="B56"/>
    <hyperlink r:id="rId97" ref="C56"/>
    <hyperlink r:id="rId98" ref="B57"/>
    <hyperlink r:id="rId99" ref="C57"/>
    <hyperlink r:id="rId100" ref="B58"/>
    <hyperlink r:id="rId101" ref="C58"/>
    <hyperlink r:id="rId102" ref="B59"/>
    <hyperlink r:id="rId103" ref="B60"/>
    <hyperlink r:id="rId104" ref="B61"/>
    <hyperlink r:id="rId105" ref="B62"/>
    <hyperlink r:id="rId106" ref="B63"/>
    <hyperlink r:id="rId107" ref="B64"/>
    <hyperlink r:id="rId108" ref="B65"/>
    <hyperlink r:id="rId109" ref="B66"/>
  </hyperlinks>
  <drawing r:id="rId110"/>
  <tableParts count="2">
    <tablePart r:id="rId113"/>
    <tablePart r:id="rId114"/>
  </tableParts>
</worksheet>
</file>